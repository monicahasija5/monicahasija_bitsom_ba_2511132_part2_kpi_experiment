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shantsingh/Documents/part2_kpi_experiment/analysis/"/>
    </mc:Choice>
  </mc:AlternateContent>
  <xr:revisionPtr revIDLastSave="0" documentId="13_ncr:1_{D4409C4A-742D-784B-B975-B7A1BDDC776B}" xr6:coauthVersionLast="47" xr6:coauthVersionMax="47" xr10:uidLastSave="{00000000-0000-0000-0000-000000000000}"/>
  <bookViews>
    <workbookView xWindow="0" yWindow="760" windowWidth="34200" windowHeight="21480" xr2:uid="{00000000-000D-0000-FFFF-FFFF00000000}"/>
  </bookViews>
  <sheets>
    <sheet name="experiment_data" sheetId="1" r:id="rId1"/>
    <sheet name="business_context" sheetId="2" r:id="rId2"/>
    <sheet name="Task4_Analysis" sheetId="3" r:id="rId3"/>
    <sheet name="Task5_Summary" sheetId="4" r:id="rId4"/>
    <sheet name="Hypothesis_Test" sheetId="5" r:id="rId5"/>
  </sheets>
  <definedNames>
    <definedName name="_xlnm._FilterDatabase" localSheetId="0" hidden="1">experiment_data!$A$1:$P$1409</definedName>
  </definedNames>
  <calcPr calcId="191029"/>
  <pivotCaches>
    <pivotCache cacheId="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Y2" i="1"/>
  <c r="X2" i="1"/>
  <c r="W2" i="1"/>
  <c r="V2" i="1"/>
  <c r="U2" i="1"/>
  <c r="T2" i="1"/>
  <c r="S2" i="1"/>
  <c r="R2" i="1"/>
</calcChain>
</file>

<file path=xl/sharedStrings.xml><?xml version="1.0" encoding="utf-8"?>
<sst xmlns="http://schemas.openxmlformats.org/spreadsheetml/2006/main" count="8598" uniqueCount="1550">
  <si>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</si>
  <si>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</si>
  <si>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</si>
  <si>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</si>
  <si>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</si>
  <si>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</si>
  <si>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</si>
  <si>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</si>
  <si>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</si>
  <si>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</si>
  <si>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</si>
  <si>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</si>
  <si>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</si>
  <si>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</si>
  <si>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</si>
  <si>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</si>
  <si>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</si>
  <si>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</si>
  <si>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</si>
  <si>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</si>
  <si>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</si>
  <si>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</si>
  <si>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</si>
  <si>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</si>
  <si>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</si>
  <si>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</si>
  <si>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</si>
  <si>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</si>
  <si>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</si>
  <si>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</si>
  <si>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</si>
  <si>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</si>
  <si>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</si>
  <si>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</si>
  <si>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</si>
  <si>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</si>
  <si>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</si>
  <si>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</si>
  <si>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</si>
  <si>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</si>
  <si>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</si>
  <si>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</si>
  <si>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</si>
  <si>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</si>
  <si>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</si>
  <si>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</si>
  <si>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</si>
  <si>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</si>
  <si>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</si>
  <si>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</si>
  <si>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</si>
  <si>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</si>
  <si>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</si>
  <si>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</si>
  <si>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</si>
  <si>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</si>
  <si>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</si>
  <si>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</si>
  <si>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</si>
  <si>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</si>
  <si>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</si>
  <si>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</si>
  <si>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</si>
  <si>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</si>
  <si>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</si>
  <si>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</si>
  <si>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</si>
  <si>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</si>
  <si>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</si>
  <si>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</si>
  <si>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</si>
  <si>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</si>
  <si>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</si>
  <si>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</si>
  <si>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</si>
  <si>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</si>
  <si>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</si>
  <si>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</si>
  <si>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</si>
  <si>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</si>
  <si>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</si>
  <si>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</si>
  <si>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</si>
  <si>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</si>
  <si>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</si>
  <si>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</si>
  <si>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</si>
  <si>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</si>
  <si>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</si>
  <si>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</si>
  <si>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</si>
  <si>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</si>
  <si>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</si>
  <si>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</si>
  <si>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</si>
  <si>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</si>
  <si>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</si>
  <si>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</si>
  <si>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</si>
  <si>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</si>
  <si>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</si>
  <si>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</si>
  <si>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</si>
  <si>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</si>
  <si>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</si>
  <si>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</si>
  <si>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</si>
  <si>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</si>
  <si>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</si>
  <si>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</si>
  <si>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</si>
  <si>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</si>
  <si>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</si>
  <si>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</si>
  <si>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</si>
  <si>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</si>
  <si>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</si>
  <si>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</si>
  <si>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</si>
  <si>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</si>
  <si>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</si>
  <si>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</si>
  <si>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</si>
  <si>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</si>
  <si>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</si>
  <si>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</si>
  <si>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</si>
  <si>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</si>
  <si>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</si>
  <si>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</si>
  <si>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</si>
  <si>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</si>
  <si>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</si>
  <si>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</si>
  <si>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</si>
  <si>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</si>
  <si>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</si>
  <si>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</si>
  <si>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</si>
  <si>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</si>
  <si>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</si>
  <si>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</si>
  <si>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</si>
  <si>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</si>
  <si>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</si>
  <si>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</si>
  <si>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</si>
  <si>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</si>
  <si>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</si>
  <si>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</si>
  <si>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</si>
  <si>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</si>
  <si>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</si>
  <si>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</si>
  <si>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</si>
  <si>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</si>
  <si>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</si>
  <si>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</si>
  <si>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</si>
  <si>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</si>
  <si>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</si>
  <si>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</si>
  <si>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</si>
  <si>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</si>
  <si>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</si>
  <si>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</si>
  <si>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</si>
  <si>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</si>
  <si>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</si>
  <si>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</si>
  <si>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</si>
  <si>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</si>
  <si>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</si>
  <si>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</si>
  <si>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</si>
  <si>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</si>
  <si>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</si>
  <si>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</si>
  <si>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</si>
  <si>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</si>
  <si>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</si>
  <si>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</si>
  <si>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</si>
  <si>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</si>
  <si>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</si>
  <si>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</si>
  <si>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</si>
  <si>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</si>
  <si>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</si>
  <si>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</si>
  <si>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</si>
  <si>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</si>
  <si>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</si>
  <si>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</si>
  <si>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</si>
  <si>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</si>
  <si>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</si>
  <si>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</si>
  <si>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</si>
  <si>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</si>
  <si>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</si>
  <si>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</si>
  <si>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</si>
  <si>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</si>
  <si>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</si>
  <si>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</si>
  <si>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</si>
  <si>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</si>
  <si>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</si>
  <si>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</si>
  <si>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</si>
  <si>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</si>
  <si>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</si>
  <si>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</si>
  <si>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</si>
  <si>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</si>
  <si>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</si>
  <si>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</si>
  <si>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</si>
  <si>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</si>
  <si>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</si>
  <si>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</si>
  <si>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</si>
  <si>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</si>
  <si>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</si>
  <si>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</si>
  <si>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</si>
  <si>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</si>
  <si>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</si>
  <si>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</si>
  <si>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</si>
  <si>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</si>
  <si>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</si>
  <si>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</si>
  <si>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</si>
  <si>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</si>
  <si>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</si>
  <si>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</si>
  <si>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</si>
  <si>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</si>
  <si>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</si>
  <si>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</si>
  <si>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</si>
  <si>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</si>
  <si>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</si>
  <si>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</si>
  <si>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</si>
  <si>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</si>
  <si>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</si>
  <si>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</si>
  <si>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</si>
  <si>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</si>
  <si>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</si>
  <si>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</si>
  <si>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</si>
  <si>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</si>
  <si>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</si>
  <si>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</si>
  <si>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</si>
  <si>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</si>
  <si>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</si>
  <si>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</si>
  <si>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</si>
  <si>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</si>
  <si>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</si>
  <si>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</si>
  <si>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</si>
  <si>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</si>
  <si>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</si>
  <si>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</si>
  <si>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</si>
  <si>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</si>
  <si>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</si>
  <si>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</si>
  <si>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</si>
  <si>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</si>
  <si>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</si>
  <si>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</si>
  <si>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</si>
  <si>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</si>
  <si>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</si>
  <si>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</si>
  <si>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</si>
  <si>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</si>
  <si>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</si>
  <si>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</si>
  <si>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</si>
  <si>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</si>
  <si>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</si>
  <si>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</si>
  <si>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</si>
  <si>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</si>
  <si>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</si>
  <si>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</si>
  <si>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</si>
  <si>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</si>
  <si>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</si>
  <si>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</si>
  <si>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</si>
  <si>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</si>
  <si>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</si>
  <si>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</si>
  <si>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</si>
  <si>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</si>
  <si>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</si>
  <si>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</si>
  <si>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</si>
  <si>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</si>
  <si>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</si>
  <si>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</si>
  <si>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</si>
  <si>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</si>
  <si>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</si>
  <si>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</si>
  <si>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</si>
  <si>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</si>
  <si>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</si>
  <si>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</si>
  <si>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</si>
  <si>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</si>
  <si>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</si>
  <si>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</si>
  <si>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</si>
  <si>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</si>
  <si>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</si>
  <si>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</si>
  <si>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</si>
  <si>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</si>
  <si>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</si>
  <si>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</si>
  <si>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</si>
  <si>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</si>
  <si>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</si>
  <si>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</si>
  <si>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</si>
  <si>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</si>
  <si>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</si>
  <si>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</si>
  <si>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</si>
  <si>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</si>
  <si>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</si>
  <si>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</si>
  <si>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</si>
  <si>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</si>
  <si>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</si>
  <si>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</si>
  <si>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</si>
  <si>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</si>
  <si>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</si>
  <si>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</si>
  <si>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</si>
  <si>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</si>
  <si>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</si>
  <si>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</si>
  <si>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</si>
  <si>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</si>
  <si>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</si>
  <si>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</si>
  <si>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</si>
  <si>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</si>
  <si>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</si>
  <si>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</si>
  <si>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</si>
  <si>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</si>
  <si>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</si>
  <si>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</si>
  <si>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</si>
  <si>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</si>
  <si>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</si>
  <si>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</si>
  <si>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</si>
  <si>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</si>
  <si>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</si>
  <si>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</si>
  <si>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</si>
  <si>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</si>
  <si>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</si>
  <si>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</si>
  <si>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</si>
  <si>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</si>
  <si>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</si>
  <si>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</si>
  <si>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</si>
  <si>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</si>
  <si>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</si>
  <si>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</si>
  <si>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</si>
  <si>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</si>
  <si>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</si>
  <si>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</si>
  <si>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</si>
  <si>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</si>
  <si>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</si>
  <si>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</si>
  <si>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</si>
  <si>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</si>
  <si>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</si>
  <si>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</si>
  <si>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</si>
  <si>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</si>
  <si>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</si>
  <si>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</si>
  <si>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</si>
  <si>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</si>
  <si>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</si>
  <si>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</si>
  <si>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</si>
  <si>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</si>
  <si>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</si>
  <si>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</si>
  <si>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</si>
  <si>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</si>
  <si>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</si>
  <si>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</si>
  <si>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</si>
  <si>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</si>
  <si>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</si>
  <si>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</si>
  <si>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</si>
  <si>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</si>
  <si>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</si>
  <si>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</si>
  <si>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</si>
  <si>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</si>
  <si>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</si>
  <si>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</si>
  <si>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</si>
  <si>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</si>
  <si>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</si>
  <si>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</si>
  <si>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</si>
  <si>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</si>
  <si>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</si>
  <si>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</si>
  <si>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</si>
  <si>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</si>
  <si>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</si>
  <si>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</si>
  <si>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</si>
  <si>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</si>
  <si>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</si>
  <si>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</si>
  <si>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</si>
  <si>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</si>
  <si>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</si>
  <si>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</si>
  <si>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</si>
  <si>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</si>
  <si>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</si>
  <si>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</si>
  <si>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</si>
  <si>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</si>
  <si>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</si>
  <si>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</si>
  <si>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</si>
  <si>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</si>
  <si>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</si>
  <si>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</si>
  <si>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</si>
  <si>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</si>
  <si>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</si>
  <si>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</si>
  <si>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</si>
  <si>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</si>
  <si>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</si>
  <si>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</si>
  <si>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</si>
  <si>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</si>
  <si>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</si>
  <si>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</si>
  <si>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</si>
  <si>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</si>
  <si>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</si>
  <si>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</si>
  <si>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</si>
  <si>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</si>
  <si>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</si>
  <si>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</si>
  <si>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</si>
  <si>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</si>
  <si>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</si>
  <si>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</si>
  <si>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</si>
  <si>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</si>
  <si>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</si>
  <si>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</si>
  <si>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</si>
  <si>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</si>
  <si>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</si>
  <si>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</si>
  <si>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</si>
  <si>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</si>
  <si>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</si>
  <si>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</si>
  <si>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</si>
  <si>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</si>
  <si>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</si>
  <si>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</si>
  <si>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</si>
  <si>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</si>
  <si>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</si>
  <si>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</si>
  <si>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</si>
  <si>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</si>
  <si>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</si>
  <si>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</si>
  <si>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</si>
  <si>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</si>
  <si>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</si>
  <si>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</si>
  <si>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</si>
  <si>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</si>
  <si>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</si>
  <si>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</si>
  <si>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</si>
  <si>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</si>
  <si>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</si>
  <si>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</si>
  <si>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</si>
  <si>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</si>
  <si>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</si>
  <si>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</si>
  <si>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</si>
  <si>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</si>
  <si>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</si>
  <si>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</si>
  <si>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</si>
  <si>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</si>
  <si>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</si>
  <si>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</si>
  <si>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</si>
  <si>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</si>
  <si>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</si>
  <si>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</si>
  <si>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</si>
  <si>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</si>
  <si>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</si>
  <si>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</si>
  <si>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</si>
  <si>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</si>
  <si>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</si>
  <si>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</si>
  <si>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</si>
  <si>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</si>
  <si>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</si>
  <si>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</si>
  <si>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</si>
  <si>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</si>
  <si>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</si>
  <si>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</si>
  <si>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</si>
  <si>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</si>
  <si>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</si>
  <si>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</si>
  <si>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</si>
  <si>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</si>
  <si>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</si>
  <si>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</si>
  <si>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</si>
  <si>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</si>
  <si>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</si>
  <si>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</si>
  <si>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</si>
  <si>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</si>
  <si>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</si>
  <si>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</si>
  <si>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</si>
  <si>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</si>
  <si>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</si>
  <si>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</si>
  <si>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</si>
  <si>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</si>
  <si>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</si>
  <si>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</si>
  <si>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</si>
  <si>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</si>
  <si>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</si>
  <si>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</si>
  <si>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</si>
  <si>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</si>
  <si>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</si>
  <si>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</si>
  <si>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</si>
  <si>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</si>
  <si>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</si>
  <si>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</si>
  <si>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</si>
  <si>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</si>
  <si>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</si>
  <si>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</si>
  <si>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</si>
  <si>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</si>
  <si>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</si>
  <si>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</si>
  <si>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</si>
  <si>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</si>
  <si>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</si>
  <si>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</si>
  <si>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</si>
  <si>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</si>
  <si>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</si>
  <si>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</si>
  <si>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</si>
  <si>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</si>
  <si>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</si>
  <si>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</si>
  <si>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</si>
  <si>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</si>
  <si>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</si>
  <si>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</si>
  <si>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</si>
  <si>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</si>
  <si>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</si>
  <si>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</si>
  <si>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</si>
  <si>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</si>
  <si>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</si>
  <si>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</si>
  <si>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</si>
  <si>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</si>
  <si>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</si>
  <si>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</si>
  <si>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</si>
  <si>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</si>
  <si>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</si>
  <si>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</si>
  <si>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</si>
  <si>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</si>
  <si>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</si>
  <si>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</si>
  <si>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</si>
  <si>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</si>
  <si>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</si>
  <si>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</si>
  <si>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</si>
  <si>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</si>
  <si>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</si>
  <si>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</si>
  <si>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</si>
  <si>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</si>
  <si>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</si>
  <si>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</si>
  <si>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</si>
  <si>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</si>
  <si>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</si>
  <si>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</si>
  <si>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</si>
  <si>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</si>
  <si>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</si>
  <si>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</si>
  <si>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</si>
  <si>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</si>
  <si>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</si>
  <si>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</si>
  <si>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</si>
  <si>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</si>
  <si>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</si>
  <si>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</si>
  <si>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</si>
  <si>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</si>
  <si>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</si>
  <si>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</si>
  <si>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</si>
  <si>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</si>
  <si>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</si>
  <si>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</si>
  <si>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</si>
  <si>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</si>
  <si>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</si>
  <si>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</si>
  <si>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</si>
  <si>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</si>
  <si>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</si>
  <si>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</si>
  <si>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</si>
  <si>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</si>
  <si>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</si>
  <si>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</si>
  <si>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</si>
  <si>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</si>
  <si>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</si>
  <si>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</si>
  <si>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</si>
  <si>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</si>
  <si>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</si>
  <si>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</si>
  <si>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</si>
  <si>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</si>
  <si>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</si>
  <si>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</si>
  <si>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</si>
  <si>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</si>
  <si>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</si>
  <si>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</si>
  <si>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</si>
  <si>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</si>
  <si>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</si>
  <si>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</si>
  <si>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</si>
  <si>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</si>
  <si>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</si>
  <si>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</si>
  <si>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</si>
  <si>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</si>
  <si>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</si>
  <si>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</si>
  <si>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</si>
  <si>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</si>
  <si>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</si>
  <si>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</si>
  <si>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</si>
  <si>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</si>
  <si>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</si>
  <si>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</si>
  <si>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</si>
  <si>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</si>
  <si>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</si>
  <si>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</si>
  <si>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</si>
  <si>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</si>
  <si>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</si>
  <si>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</si>
  <si>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</si>
  <si>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</si>
  <si>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</si>
  <si>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</si>
  <si>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</si>
  <si>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</si>
  <si>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</si>
  <si>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</si>
  <si>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</si>
  <si>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</si>
  <si>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</si>
  <si>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</si>
  <si>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</si>
  <si>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</si>
  <si>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</si>
  <si>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</si>
  <si>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</si>
  <si>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</si>
  <si>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</si>
  <si>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</si>
  <si>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</si>
  <si>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</si>
  <si>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</si>
  <si>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</si>
  <si>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</si>
  <si>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</si>
  <si>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</si>
  <si>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</si>
  <si>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</si>
  <si>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</si>
  <si>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</si>
  <si>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</si>
  <si>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</si>
  <si>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</si>
  <si>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</si>
  <si>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</si>
  <si>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</si>
  <si>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</si>
  <si>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</si>
  <si>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</si>
  <si>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</si>
  <si>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</si>
  <si>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</si>
  <si>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</si>
  <si>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</si>
  <si>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</si>
  <si>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</si>
  <si>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</si>
  <si>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</si>
  <si>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</si>
  <si>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</si>
  <si>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</si>
  <si>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</si>
  <si>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</si>
  <si>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</si>
  <si>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</si>
  <si>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</si>
  <si>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</si>
  <si>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</si>
  <si>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</si>
  <si>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</si>
  <si>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</si>
  <si>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</si>
  <si>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</si>
  <si>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</si>
  <si>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</si>
  <si>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</si>
  <si>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</si>
  <si>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</si>
  <si>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</si>
  <si>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</si>
  <si>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</si>
  <si>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</si>
  <si>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</si>
  <si>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</si>
  <si>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</si>
  <si>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</si>
  <si>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</si>
  <si>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</si>
  <si>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</si>
  <si>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</si>
  <si>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</si>
  <si>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</si>
  <si>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</si>
  <si>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</si>
  <si>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</si>
  <si>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</si>
  <si>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</si>
  <si>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</si>
  <si>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</si>
  <si>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</si>
  <si>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</si>
  <si>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</si>
  <si>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</si>
  <si>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</si>
  <si>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</si>
  <si>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</si>
  <si>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</si>
  <si>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</si>
  <si>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</si>
  <si>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</si>
  <si>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</si>
  <si>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</si>
  <si>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</si>
  <si>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</si>
  <si>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</si>
  <si>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</si>
  <si>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</si>
  <si>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</si>
  <si>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</si>
  <si>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</si>
  <si>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</si>
  <si>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</si>
  <si>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</si>
  <si>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</si>
  <si>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</si>
  <si>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</si>
  <si>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</si>
  <si>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</si>
  <si>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</si>
  <si>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</si>
  <si>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</si>
  <si>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</si>
  <si>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</si>
  <si>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</si>
  <si>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</si>
  <si>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</si>
  <si>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</si>
  <si>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</si>
  <si>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</si>
  <si>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</si>
  <si>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</si>
  <si>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</si>
  <si>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</si>
  <si>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</si>
  <si>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</si>
  <si>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</si>
  <si>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</si>
  <si>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</si>
  <si>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</si>
  <si>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</si>
  <si>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</si>
  <si>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</si>
  <si>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</si>
  <si>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</si>
  <si>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</si>
  <si>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</si>
  <si>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</si>
  <si>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</si>
  <si>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</si>
  <si>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</si>
  <si>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</si>
  <si>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</si>
  <si>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</si>
  <si>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</si>
  <si>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</si>
  <si>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</si>
  <si>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</si>
  <si>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</si>
  <si>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</si>
  <si>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</si>
  <si>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</si>
  <si>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</si>
  <si>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</si>
  <si>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</si>
  <si>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</si>
  <si>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</si>
  <si>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</si>
  <si>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</si>
  <si>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</si>
  <si>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</si>
  <si>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</si>
  <si>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</si>
  <si>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</si>
  <si>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</si>
  <si>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</si>
  <si>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</si>
  <si>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</si>
  <si>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</si>
  <si>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</si>
  <si>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</si>
  <si>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</si>
  <si>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</si>
  <si>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</si>
  <si>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</si>
  <si>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</si>
  <si>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</si>
  <si>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</si>
  <si>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</si>
  <si>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</si>
  <si>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</si>
  <si>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</si>
  <si>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</si>
  <si>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</si>
  <si>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</si>
  <si>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</si>
  <si>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</si>
  <si>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</si>
  <si>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</si>
  <si>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</si>
  <si>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</si>
  <si>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</si>
  <si>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</si>
  <si>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</si>
  <si>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</si>
  <si>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</si>
  <si>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</si>
  <si>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</si>
  <si>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</si>
  <si>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</si>
  <si>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</si>
  <si>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</si>
  <si>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</si>
  <si>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</si>
  <si>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</si>
  <si>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</si>
  <si>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</si>
  <si>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</si>
  <si>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</si>
  <si>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</si>
  <si>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</si>
  <si>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</si>
  <si>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</si>
  <si>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</si>
  <si>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</si>
  <si>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</si>
  <si>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</si>
  <si>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</si>
  <si>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</si>
  <si>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</si>
  <si>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</si>
  <si>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</si>
  <si>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</si>
  <si>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</si>
  <si>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</si>
  <si>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</si>
  <si>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</si>
  <si>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</si>
  <si>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</si>
  <si>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</si>
  <si>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</si>
  <si>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</si>
  <si>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</si>
  <si>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</si>
  <si>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</si>
  <si>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</si>
  <si>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</si>
  <si>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</si>
  <si>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</si>
  <si>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</si>
  <si>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</si>
  <si>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</si>
  <si>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</si>
  <si>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</si>
  <si>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</si>
  <si>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</si>
  <si>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</si>
  <si>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</si>
  <si>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</si>
  <si>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</si>
  <si>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</si>
  <si>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</si>
  <si>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</si>
  <si>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</si>
  <si>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</si>
  <si>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</si>
  <si>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</si>
  <si>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</si>
  <si>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</si>
  <si>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</si>
  <si>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</si>
  <si>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</si>
  <si>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</si>
  <si>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</si>
  <si>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</si>
  <si>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</si>
  <si>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</si>
  <si>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</si>
  <si>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</si>
  <si>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</si>
  <si>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</si>
  <si>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</si>
  <si>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</si>
  <si>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</si>
  <si>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</si>
  <si>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</si>
  <si>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</si>
  <si>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</si>
  <si>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</si>
  <si>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</si>
  <si>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</si>
  <si>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</si>
  <si>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</si>
  <si>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</si>
  <si>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</si>
  <si>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</si>
  <si>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</si>
  <si>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</si>
  <si>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</si>
  <si>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</si>
  <si>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</si>
  <si>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</si>
  <si>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</si>
  <si>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</si>
  <si>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</si>
  <si>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</si>
  <si>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</si>
  <si>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</si>
  <si>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</si>
  <si>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</si>
  <si>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</si>
  <si>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</si>
  <si>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</si>
  <si>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</si>
  <si>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</si>
  <si>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</si>
  <si>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</si>
  <si>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</si>
  <si>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</si>
  <si>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</si>
  <si>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</si>
  <si>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</si>
  <si>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</si>
  <si>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</si>
  <si>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</si>
  <si>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</si>
  <si>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</si>
  <si>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</si>
  <si>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</si>
  <si>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</si>
  <si>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</si>
  <si>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</si>
  <si>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</si>
  <si>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</si>
  <si>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</si>
  <si>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</si>
  <si>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</si>
  <si>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</si>
  <si>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</si>
  <si>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</si>
  <si>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</si>
  <si>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</si>
  <si>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</si>
  <si>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</si>
  <si>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</si>
  <si>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</si>
  <si>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</si>
  <si>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</si>
  <si>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</si>
  <si>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</si>
  <si>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</si>
  <si>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</si>
  <si>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</si>
  <si>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</si>
  <si>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</si>
  <si>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</si>
  <si>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</si>
  <si>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</si>
  <si>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</si>
  <si>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</si>
  <si>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</si>
  <si>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</si>
  <si>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</si>
  <si>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</si>
  <si>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</si>
  <si>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</si>
  <si>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</si>
  <si>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</si>
  <si>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</si>
  <si>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</si>
  <si>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</si>
  <si>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</si>
  <si>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</si>
  <si>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</si>
  <si>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</si>
  <si>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</si>
  <si>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</si>
  <si>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</si>
  <si>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</si>
  <si>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</si>
  <si>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</si>
  <si>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</si>
  <si>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</si>
  <si>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</si>
  <si>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</si>
  <si>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</si>
  <si>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</si>
  <si>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</si>
  <si>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</si>
  <si>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</si>
  <si>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</si>
  <si>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</si>
  <si>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</si>
  <si>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</si>
  <si>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</si>
  <si>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</si>
  <si>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</si>
  <si>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</si>
  <si>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</si>
  <si>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</si>
  <si>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</si>
  <si>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</si>
  <si>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</si>
  <si>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</si>
  <si>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</si>
  <si>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</si>
  <si>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</si>
  <si>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</si>
  <si>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</si>
  <si>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</si>
  <si>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</si>
  <si>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</si>
  <si>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</si>
  <si>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</si>
  <si>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</si>
  <si>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</si>
  <si>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</si>
  <si>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</si>
  <si>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</si>
  <si>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</si>
  <si>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</si>
  <si>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</si>
  <si>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</si>
  <si>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</si>
  <si>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</si>
  <si>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</si>
  <si>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</si>
  <si>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</si>
  <si>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</si>
  <si>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</si>
  <si>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</si>
  <si>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</si>
  <si>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</si>
  <si>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</si>
  <si>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</si>
  <si>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</si>
  <si>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</si>
  <si>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</si>
  <si>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</si>
  <si>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</si>
  <si>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</si>
  <si>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</si>
  <si>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</si>
  <si>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</si>
  <si>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</si>
  <si>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</si>
  <si>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</si>
  <si>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</si>
  <si>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</si>
  <si>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</si>
  <si>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</si>
  <si>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</si>
  <si>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</si>
  <si>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</si>
  <si>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</si>
  <si>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</si>
  <si>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</si>
  <si>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</si>
  <si>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</si>
  <si>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</si>
  <si>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</si>
  <si>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</si>
  <si>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</si>
  <si>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</si>
  <si>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</si>
  <si>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</si>
  <si>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</si>
  <si>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</si>
  <si>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</si>
  <si>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</si>
  <si>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</si>
  <si>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</si>
  <si>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</si>
  <si>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</si>
  <si>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</si>
  <si>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</si>
  <si>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</si>
  <si>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</si>
  <si>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</si>
  <si>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</si>
  <si>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</si>
  <si>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</si>
  <si>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</si>
  <si>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</si>
  <si>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</si>
  <si>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</si>
  <si>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</si>
  <si>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</si>
  <si>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</si>
  <si>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</si>
  <si>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</si>
  <si>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</si>
  <si>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</si>
  <si>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</si>
  <si>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</si>
  <si>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</si>
  <si>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</si>
  <si>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</si>
  <si>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</si>
  <si>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</si>
  <si>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</si>
  <si>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</si>
  <si>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</si>
  <si>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</si>
  <si>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</si>
  <si>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</si>
  <si>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</si>
  <si>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</si>
  <si>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</si>
  <si>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</si>
  <si>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</si>
  <si>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</si>
  <si>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</si>
  <si>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</si>
  <si>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</si>
  <si>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</si>
  <si>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</si>
  <si>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</si>
  <si>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</si>
  <si>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</si>
  <si>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</si>
  <si>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</si>
  <si>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</si>
  <si>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</si>
  <si>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</si>
  <si>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</si>
  <si>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</si>
  <si>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</si>
  <si>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</si>
  <si>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</si>
  <si>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</si>
  <si>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</si>
  <si>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</si>
  <si>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</si>
  <si>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</si>
  <si>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</si>
  <si>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</si>
  <si>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</si>
  <si>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</si>
  <si>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</si>
  <si>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</si>
  <si>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</si>
  <si>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</si>
  <si>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</si>
  <si>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</si>
  <si>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</si>
  <si>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</si>
  <si>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</si>
  <si>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</si>
  <si>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</si>
  <si>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</si>
  <si>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</si>
  <si>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</si>
  <si>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</si>
  <si>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</si>
  <si>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</si>
  <si>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</si>
  <si>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</si>
  <si>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</si>
  <si>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</si>
  <si>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</si>
  <si>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</si>
  <si>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</si>
  <si>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</si>
  <si>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</si>
  <si>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</si>
  <si>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</si>
  <si>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</si>
  <si>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</si>
  <si>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</si>
  <si>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</si>
  <si>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</si>
  <si>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</si>
  <si>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</si>
  <si>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</si>
  <si>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</si>
  <si>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</si>
  <si>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</si>
  <si>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</si>
  <si>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</si>
  <si>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</si>
  <si>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</si>
  <si>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</si>
  <si>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</si>
  <si>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</si>
  <si>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</si>
  <si>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</si>
  <si>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</si>
  <si>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</si>
  <si>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</si>
  <si>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</si>
  <si>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</si>
  <si>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</si>
  <si>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</si>
  <si>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</si>
  <si>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</si>
  <si>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</si>
  <si>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</si>
  <si>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</si>
  <si>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</si>
  <si>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</si>
  <si>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</si>
  <si>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</si>
  <si>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</si>
  <si>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</si>
  <si>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</si>
  <si>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</si>
  <si>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</si>
  <si>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</si>
  <si>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</si>
  <si>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</si>
  <si>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</si>
  <si>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</si>
  <si>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</si>
  <si>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</si>
  <si>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</si>
  <si>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</si>
  <si>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</si>
  <si>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</si>
  <si>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</si>
  <si>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</si>
  <si>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</si>
  <si>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</si>
  <si>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</si>
  <si>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</si>
  <si>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</si>
  <si>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</si>
  <si>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</si>
  <si>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</si>
  <si>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</si>
  <si>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</si>
  <si>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</si>
  <si>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</si>
  <si>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</si>
  <si>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</si>
  <si>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</si>
  <si>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</si>
  <si>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</si>
  <si>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</si>
  <si>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</si>
  <si>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</si>
  <si>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</si>
  <si>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</si>
  <si>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</si>
  <si>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</si>
  <si>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</si>
  <si>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</si>
  <si>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</si>
  <si>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</si>
  <si>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</si>
  <si>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</si>
  <si>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</si>
  <si>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</si>
  <si>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</si>
  <si>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</si>
  <si>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</si>
  <si>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</si>
  <si>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</si>
  <si>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</si>
  <si>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</si>
  <si>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</si>
  <si>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</si>
  <si>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</si>
  <si>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</si>
  <si>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</si>
  <si>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</si>
  <si>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</si>
  <si>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</si>
  <si>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</si>
  <si>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</si>
  <si>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</si>
  <si>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</si>
  <si>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</si>
  <si>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</si>
  <si>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</si>
  <si>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</si>
  <si>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</si>
  <si>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</si>
  <si>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</si>
  <si>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</si>
  <si>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</si>
  <si>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</si>
  <si>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</si>
  <si>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</si>
  <si>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</si>
  <si>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</si>
  <si>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</si>
  <si>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</si>
  <si>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</si>
  <si>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</si>
  <si>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</si>
  <si>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</si>
  <si>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</si>
  <si>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</si>
  <si>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</si>
  <si>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</si>
  <si>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</si>
  <si>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</si>
  <si>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</si>
  <si>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</si>
  <si>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</si>
  <si>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</si>
  <si>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</si>
  <si>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</si>
  <si>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</si>
  <si>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</si>
  <si>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</si>
  <si>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</si>
  <si>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</si>
  <si>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</si>
  <si>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</si>
  <si>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</si>
  <si>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</si>
  <si>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</si>
  <si>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</si>
  <si>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</si>
  <si>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</si>
  <si>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</si>
  <si>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</si>
  <si>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</si>
  <si>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</si>
  <si>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</si>
  <si>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</si>
  <si>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</si>
  <si>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</si>
  <si>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</si>
  <si>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</si>
  <si>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</si>
  <si>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</si>
  <si>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Check</t>
  </si>
  <si>
    <t>Method / Formula</t>
  </si>
  <si>
    <t>Missing Values</t>
  </si>
  <si>
    <t>Group Counts</t>
  </si>
  <si>
    <t>Duplicate User IDs</t>
  </si>
  <si>
    <t>Revenue Outliers</t>
  </si>
  <si>
    <t>Segment Distribution</t>
  </si>
  <si>
    <t>Observation</t>
  </si>
  <si>
    <t>Action Taken</t>
  </si>
  <si>
    <t>Binary Value Validation</t>
  </si>
  <si>
    <t xml:space="preserve">COUNTBLANK() </t>
  </si>
  <si>
    <t>No action required.</t>
  </si>
  <si>
    <t>COUNTIF()</t>
  </si>
  <si>
    <t>Duplicate records were reviewed before performing the analysis to avoid duplicate user counts.</t>
  </si>
  <si>
    <t>Pivot Table</t>
  </si>
  <si>
    <t>No action required</t>
  </si>
  <si>
    <t>missing traffic_source</t>
  </si>
  <si>
    <t>missing device_type</t>
  </si>
  <si>
    <t>missing engagement_score</t>
  </si>
  <si>
    <t>missing days_to_convert</t>
  </si>
  <si>
    <t>Missing values found: traffic_source (24), device_type (18), engagement_score (14), and days_to_convert (1336). Missing values in days_to_convert are expected for users who did not convert.</t>
  </si>
  <si>
    <t>Retained expected missing values in days_to_convert. Other missing values were documented and considered during analysis.</t>
  </si>
  <si>
    <t>Control Group Count</t>
  </si>
  <si>
    <t>Treatment Group Count</t>
  </si>
  <si>
    <t>Control group: 693 users; Treatment group: 715 users. The groups are reasonably balanced for comparison.</t>
  </si>
  <si>
    <t>Filter</t>
  </si>
  <si>
    <t>The binary columns (visited_landing_page, started_trial, completed_onboarding, converted_to_paid, and refund_requested) contained only valid values (0 and 1).</t>
  </si>
  <si>
    <t>IQR (Q1)</t>
  </si>
  <si>
    <t>IQR (Q3)</t>
  </si>
  <si>
    <t>Sorted revenue_30d in descending order</t>
  </si>
  <si>
    <t>Revenue values were reviewed after sorting. No unrealistic or invalid revenue values were observed.</t>
  </si>
  <si>
    <t>No action required. Revenue values were retained for analysis.</t>
  </si>
  <si>
    <t>Row Labels</t>
  </si>
  <si>
    <t>Grand Total</t>
  </si>
  <si>
    <t>Column Labels</t>
  </si>
  <si>
    <t>Count of user_id</t>
  </si>
  <si>
    <r>
      <t>COUNTIF()</t>
    </r>
    <r>
      <rPr>
        <sz val="26"/>
        <rFont val="Carlito"/>
      </rPr>
      <t xml:space="preserve"> </t>
    </r>
  </si>
  <si>
    <r>
      <t>8 duplicate user IDs</t>
    </r>
    <r>
      <rPr>
        <sz val="26"/>
        <rFont val="Carlito"/>
      </rPr>
      <t xml:space="preserve"> were identified.</t>
    </r>
  </si>
  <si>
    <t>The Region distribution was reviewed across the Control and Treatment groups. The groups were reasonably balanced, making them suitable for comparison.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</si>
  <si>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</si>
  <si>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</si>
  <si>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</si>
  <si>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</si>
  <si>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</si>
  <si>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</si>
  <si>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</si>
  <si>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</si>
  <si>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</si>
  <si>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</si>
  <si>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</si>
  <si>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</si>
  <si>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Landing Page Visit Rate (Control)</t>
  </si>
  <si>
    <t>Landing Page Visit Rate (Treatment)</t>
  </si>
  <si>
    <t>Trial Start Rate (Control)</t>
  </si>
  <si>
    <t>Trial Start Rate (Treatment)</t>
  </si>
  <si>
    <t>Onboarding Completion Rate(Control)</t>
  </si>
  <si>
    <t>Onboarding Completion Rate(Treatment)</t>
  </si>
  <si>
    <t>Paid Conversion Rate(Control)</t>
  </si>
  <si>
    <t>Paid Conversion Rate(Treatment)</t>
  </si>
  <si>
    <t>Refund Rate(Control)</t>
  </si>
  <si>
    <t>Refund Rate(Treatment)</t>
  </si>
  <si>
    <t>Support Ticket Rate(Control)</t>
  </si>
  <si>
    <t>Support Ticket Rate(Treatment)</t>
  </si>
  <si>
    <t>r</t>
  </si>
  <si>
    <t>Average Revenue per User(Control)</t>
  </si>
  <si>
    <t>ARPU(Treatment)</t>
  </si>
  <si>
    <t>Average Revenue per Converted User(Control)</t>
  </si>
  <si>
    <t>Average Revenue per Converted User(Treatment)</t>
  </si>
  <si>
    <t>Average Engagement Score(Control)</t>
  </si>
  <si>
    <t>Average Engagement Score(Treatment)</t>
  </si>
  <si>
    <t>Average Days to Convert(Control)</t>
  </si>
  <si>
    <t>Average Days to Convert(Treatment)</t>
  </si>
  <si>
    <t>Average of converted_to_paid</t>
  </si>
  <si>
    <t>Average of engagement_score</t>
  </si>
  <si>
    <t>Average of refund_requested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</si>
  <si>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</si>
  <si>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</si>
  <si>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</si>
  <si>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</si>
  <si>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</si>
  <si>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</si>
  <si>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</si>
  <si>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</si>
  <si>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</si>
  <si>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</si>
  <si>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</si>
  <si>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Guardrail Metric</t>
  </si>
  <si>
    <t>Risk Assessment</t>
  </si>
  <si>
    <t>Increased noticeably in the Treatment group, indicating a higher customer support workload. This should be monitored before a full rollout.</t>
  </si>
  <si>
    <t>8.86 days</t>
  </si>
  <si>
    <t>6.40 days</t>
  </si>
  <si>
    <t>Users converted faster in the Treatment group. This is a positive outcome and does not indicate additional business risk.</t>
  </si>
  <si>
    <t>The Treatment group significantly improved the Paid Conversion Rate and reduced the average number of days required for users to convert</t>
  </si>
  <si>
    <t>However, the Support Ticket Rate increased noticeably, suggesting that the new onboarding experience may require additional customer support resources.</t>
  </si>
  <si>
    <t>Although the Refund Rate also increased, it remained very low.</t>
  </si>
  <si>
    <t>Overall, the guardrail metrics indicate that the experiment was successful, but the increase in support requests should be monitored before a full rollout.</t>
  </si>
  <si>
    <t>Task 8: Guardrail Metrics Evaluation</t>
  </si>
  <si>
    <t>Overall Guardrail Evaluation</t>
  </si>
  <si>
    <t>Increased slightly in the Treatment group but remained at a very low level.The increase is small and the overall refund rate remains very low, so the business risk is minimal.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</si>
</sst>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name val="Carlito"/>
    </font>
    <font>
      <b/>
      <sz val="11"/>
      <color rgb="FFFFFFFF"/>
      <name val="Carlito"/>
    </font>
    <font>
      <sz val="16"/>
      <name val="Carlito"/>
    </font>
    <font>
      <sz val="26"/>
      <name val="Carlito"/>
    </font>
    <font>
      <sz val="20"/>
      <name val="Carlito"/>
    </font>
    <font>
      <b/>
      <sz val="26"/>
      <name val="Carlito"/>
    </font>
    <font>
      <b/>
      <sz val="11"/>
      <name val="Carlito"/>
    </font>
    <font>
      <b/>
      <sz val="20"/>
      <name val="Carlito"/>
    </font>
    <font>
      <sz val="36"/>
      <name val="Carlito"/>
    </font>
    <font>
      <sz val="26"/>
      <name val="Arial Unicode MS"/>
      <family val="2"/>
    </font>
    <font>
      <b/>
      <sz val="36"/>
      <name val="Carlito"/>
    </font>
    <font>
      <b/>
      <sz val="16"/>
      <color theme="1"/>
      <name val="Carlito"/>
    </font>
    <font>
      <b/>
      <sz val="16"/>
      <name val="Carlito"/>
    </font>
    <font>
      <b/>
      <sz val="11"/>
      <color rgb="FF000000"/>
      <name val="Carlito"/>
    </font>
    <font>
      <sz val="18"/>
      <name val="Carlito"/>
    </font>
    <font>
      <b/>
      <sz val="18"/>
      <name val="Carlito"/>
    </font>
    <font>
      <b/>
      <i/>
      <sz val="16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pivotButton="1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3" fillId="4" borderId="13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/>
    </xf>
    <xf numFmtId="0" fontId="10" fillId="3" borderId="10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11" fillId="6" borderId="9" xfId="0" applyFont="1" applyFill="1" applyBorder="1" applyAlignment="1">
      <alignment horizontal="center" vertical="center" wrapText="1"/>
    </xf>
    <xf numFmtId="0" fontId="12" fillId="0" borderId="9" xfId="0" applyFont="1" applyBorder="1"/>
    <xf numFmtId="10" fontId="0" fillId="0" borderId="0" xfId="0" applyNumberFormat="1"/>
    <xf numFmtId="0" fontId="4" fillId="4" borderId="9" xfId="0" applyFont="1" applyFill="1" applyBorder="1"/>
    <xf numFmtId="10" fontId="4" fillId="4" borderId="9" xfId="0" applyNumberFormat="1" applyFont="1" applyFill="1" applyBorder="1"/>
    <xf numFmtId="2" fontId="0" fillId="0" borderId="0" xfId="0" applyNumberFormat="1"/>
    <xf numFmtId="0" fontId="5" fillId="3" borderId="18" xfId="0" applyFont="1" applyFill="1" applyBorder="1"/>
    <xf numFmtId="0" fontId="5" fillId="3" borderId="19" xfId="0" applyFont="1" applyFill="1" applyBorder="1"/>
    <xf numFmtId="0" fontId="5" fillId="3" borderId="20" xfId="0" applyFont="1" applyFill="1" applyBorder="1"/>
    <xf numFmtId="0" fontId="13" fillId="7" borderId="0" xfId="0" applyFont="1" applyFill="1"/>
    <xf numFmtId="0" fontId="13" fillId="7" borderId="21" xfId="0" applyFont="1" applyFill="1" applyBorder="1"/>
    <xf numFmtId="0" fontId="13" fillId="7" borderId="22" xfId="0" applyFont="1" applyFill="1" applyBorder="1" applyAlignment="1">
      <alignment horizontal="left"/>
    </xf>
    <xf numFmtId="10" fontId="13" fillId="7" borderId="22" xfId="0" applyNumberFormat="1" applyFont="1" applyFill="1" applyBorder="1"/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10" fontId="12" fillId="0" borderId="6" xfId="0" applyNumberFormat="1" applyFont="1" applyBorder="1"/>
    <xf numFmtId="10" fontId="12" fillId="0" borderId="7" xfId="0" applyNumberFormat="1" applyFont="1" applyBorder="1"/>
    <xf numFmtId="2" fontId="12" fillId="0" borderId="7" xfId="0" applyNumberFormat="1" applyFont="1" applyBorder="1"/>
    <xf numFmtId="2" fontId="12" fillId="0" borderId="8" xfId="0" applyNumberFormat="1" applyFont="1" applyBorder="1"/>
    <xf numFmtId="2" fontId="12" fillId="0" borderId="6" xfId="0" applyNumberFormat="1" applyFont="1" applyBorder="1"/>
    <xf numFmtId="0" fontId="14" fillId="0" borderId="0" xfId="0" applyFont="1"/>
    <xf numFmtId="0" fontId="7" fillId="3" borderId="10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0" fontId="2" fillId="0" borderId="0" xfId="0" applyFont="1" applyAlignment="1"/>
    <xf numFmtId="0" fontId="15" fillId="8" borderId="0" xfId="0" applyFont="1" applyFill="1" applyAlignment="1">
      <alignment horizontal="center"/>
    </xf>
    <xf numFmtId="0" fontId="15" fillId="8" borderId="23" xfId="0" applyFont="1" applyFill="1" applyBorder="1" applyAlignment="1">
      <alignment horizontal="center"/>
    </xf>
    <xf numFmtId="0" fontId="15" fillId="8" borderId="24" xfId="0" applyFont="1" applyFill="1" applyBorder="1" applyAlignment="1">
      <alignment horizontal="center"/>
    </xf>
    <xf numFmtId="0" fontId="12" fillId="4" borderId="1" xfId="0" applyFont="1" applyFill="1" applyBorder="1"/>
    <xf numFmtId="0" fontId="12" fillId="4" borderId="2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12" fillId="4" borderId="0" xfId="0" applyFont="1" applyFill="1" applyBorder="1"/>
    <xf numFmtId="0" fontId="12" fillId="4" borderId="5" xfId="0" applyFont="1" applyFill="1" applyBorder="1"/>
    <xf numFmtId="0" fontId="12" fillId="4" borderId="6" xfId="0" applyFont="1" applyFill="1" applyBorder="1"/>
    <xf numFmtId="0" fontId="12" fillId="4" borderId="7" xfId="0" applyFont="1" applyFill="1" applyBorder="1"/>
    <xf numFmtId="0" fontId="12" fillId="4" borderId="8" xfId="0" applyFont="1" applyFill="1" applyBorder="1"/>
    <xf numFmtId="0" fontId="2" fillId="4" borderId="13" xfId="0" applyFont="1" applyFill="1" applyBorder="1" applyAlignment="1">
      <alignment wrapText="1"/>
    </xf>
    <xf numFmtId="10" fontId="2" fillId="4" borderId="9" xfId="0" applyNumberFormat="1" applyFont="1" applyFill="1" applyBorder="1" applyAlignment="1">
      <alignment wrapText="1"/>
    </xf>
    <xf numFmtId="0" fontId="2" fillId="4" borderId="14" xfId="0" applyFont="1" applyFill="1" applyBorder="1" applyAlignment="1">
      <alignment wrapText="1"/>
    </xf>
    <xf numFmtId="0" fontId="2" fillId="4" borderId="15" xfId="0" applyFont="1" applyFill="1" applyBorder="1" applyAlignment="1">
      <alignment wrapText="1"/>
    </xf>
    <xf numFmtId="0" fontId="2" fillId="4" borderId="16" xfId="0" applyFont="1" applyFill="1" applyBorder="1" applyAlignment="1">
      <alignment wrapText="1"/>
    </xf>
    <xf numFmtId="0" fontId="2" fillId="4" borderId="17" xfId="0" applyFont="1" applyFill="1" applyBorder="1" applyAlignment="1">
      <alignment horizontal="center" wrapText="1"/>
    </xf>
    <xf numFmtId="0" fontId="12" fillId="5" borderId="9" xfId="0" applyFont="1" applyFill="1" applyBorder="1"/>
    <xf numFmtId="0" fontId="16" fillId="5" borderId="9" xfId="0" applyFont="1" applyFill="1" applyBorder="1" applyAlignment="1">
      <alignment horizontal="center"/>
    </xf>
    <xf numFmtId="0" fontId="12" fillId="5" borderId="9" xfId="0" applyFont="1" applyFill="1" applyBorder="1" applyAlignment="1"/>
    <xf numFmtId="0" fontId="15" fillId="9" borderId="9" xfId="0" applyFont="1" applyFill="1" applyBorder="1"/>
    <xf numFmtId="0" fontId="6" fillId="0" borderId="9" xfId="0" applyFont="1" applyBorder="1"/>
    <xf numFmtId="0" fontId="15" fillId="0" borderId="9" xfId="0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  <dxf>
      <font>
        <sz val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ant Singh" refreshedDate="46199.917338194442" createdVersion="8" refreshedVersion="8" minRefreshableVersion="3" recordCount="1408" xr:uid="{01E03921-06BD-7F42-A8D2-11EFA4BDD919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</r>
  <r>
    <s v="USR-100154"/>
    <d v="2025-03-04T00:00:00"/>
    <x v="0"/>
    <x v="3"/>
    <x v="1"/>
    <x v="3"/>
    <s v="Free"/>
    <n v="1"/>
    <n v="1"/>
    <n v="0"/>
    <n v="0"/>
    <n v="0"/>
    <n v="0"/>
    <n v="0"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</r>
  <r>
    <s v="USR-100162"/>
    <d v="2025-02-01T00:00:00"/>
    <x v="0"/>
    <x v="0"/>
    <x v="1"/>
    <x v="1"/>
    <s v="Free"/>
    <n v="0"/>
    <n v="0"/>
    <n v="0"/>
    <n v="0"/>
    <n v="0"/>
    <n v="0"/>
    <n v="0"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</r>
  <r>
    <s v="USR-100168"/>
    <d v="2025-03-06T00:00:00"/>
    <x v="0"/>
    <x v="3"/>
    <x v="1"/>
    <x v="2"/>
    <s v="Free"/>
    <n v="1"/>
    <n v="0"/>
    <n v="0"/>
    <n v="0"/>
    <n v="0"/>
    <n v="1"/>
    <n v="0"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</r>
  <r>
    <s v="USR-100218"/>
    <d v="2025-02-25T00:00:00"/>
    <x v="0"/>
    <x v="0"/>
    <x v="2"/>
    <x v="4"/>
    <s v="Free"/>
    <n v="1"/>
    <n v="0"/>
    <n v="0"/>
    <n v="0"/>
    <n v="0"/>
    <n v="0"/>
    <n v="0"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</r>
  <r>
    <s v="USR-100545"/>
    <d v="2025-01-01T00:00:00"/>
    <x v="0"/>
    <x v="3"/>
    <x v="0"/>
    <x v="4"/>
    <s v="Basic"/>
    <n v="0"/>
    <n v="0"/>
    <n v="0"/>
    <n v="0"/>
    <n v="0"/>
    <n v="0"/>
    <n v="0"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</r>
  <r>
    <s v="USR-100632"/>
    <d v="2025-03-16T00:00:00"/>
    <x v="0"/>
    <x v="0"/>
    <x v="1"/>
    <x v="4"/>
    <s v="Free"/>
    <n v="1"/>
    <n v="0"/>
    <n v="0"/>
    <n v="0"/>
    <n v="0"/>
    <n v="0"/>
    <n v="0"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</r>
  <r>
    <s v="USR-100694"/>
    <d v="2025-03-27T00:00:00"/>
    <x v="1"/>
    <x v="0"/>
    <x v="0"/>
    <x v="4"/>
    <s v="Free"/>
    <n v="1"/>
    <n v="0"/>
    <n v="0"/>
    <n v="0"/>
    <n v="0"/>
    <n v="0"/>
    <n v="0"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</r>
  <r>
    <s v="USR-100707"/>
    <d v="2025-01-29T00:00:00"/>
    <x v="1"/>
    <x v="0"/>
    <x v="0"/>
    <x v="1"/>
    <s v="Basic"/>
    <n v="1"/>
    <n v="0"/>
    <n v="0"/>
    <n v="0"/>
    <n v="0"/>
    <n v="0"/>
    <n v="0"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</r>
  <r>
    <s v="USR-100762"/>
    <d v="2025-03-26T00:00:00"/>
    <x v="1"/>
    <x v="3"/>
    <x v="1"/>
    <x v="2"/>
    <s v="Free"/>
    <n v="0"/>
    <n v="0"/>
    <n v="0"/>
    <n v="0"/>
    <n v="0"/>
    <n v="0"/>
    <n v="0"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</r>
  <r>
    <s v="USR-101073"/>
    <d v="2025-05-22T00:00:00"/>
    <x v="1"/>
    <x v="2"/>
    <x v="1"/>
    <x v="3"/>
    <s v="Free"/>
    <n v="1"/>
    <n v="0"/>
    <n v="0"/>
    <n v="0"/>
    <n v="0"/>
    <n v="1"/>
    <n v="0"/>
    <m/>
    <m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</r>
  <r>
    <s v="USR-101099"/>
    <d v="2025-04-19T00:00:00"/>
    <x v="1"/>
    <x v="0"/>
    <x v="1"/>
    <x v="2"/>
    <s v="Basic"/>
    <n v="1"/>
    <n v="0"/>
    <n v="0"/>
    <n v="0"/>
    <n v="0"/>
    <n v="0"/>
    <n v="0"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x v="1"/>
    <x v="1"/>
    <s v="Free"/>
    <n v="0"/>
    <n v="0"/>
    <n v="0"/>
    <n v="0"/>
    <n v="0"/>
    <n v="3"/>
    <n v="0"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95787-9734-2E4C-9F1B-CF786F817E63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7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formats count="10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933F6-9B87-244C-8B7A-F15A759EFA37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09"/>
  <sheetViews>
    <sheetView tabSelected="1" workbookViewId="0">
      <selection activeCell="J685" sqref="J685"/>
    </sheetView>
  </sheetViews>
  <sheetFormatPr baseColWidth="10" defaultColWidth="8.83203125" defaultRowHeight="14"/>
  <cols>
    <col min="1" max="1" width="14" customWidth="1"/>
    <col min="2" max="2" width="13.1640625" customWidth="1"/>
    <col min="3" max="16" width="16" customWidth="1"/>
    <col min="18" max="18" width="26" customWidth="1"/>
    <col min="19" max="19" width="21.33203125" customWidth="1"/>
    <col min="20" max="20" width="22.1640625" customWidth="1"/>
    <col min="21" max="21" width="16.6640625" customWidth="1"/>
    <col min="22" max="22" width="19.5" customWidth="1"/>
    <col min="23" max="23" width="20.6640625" customWidth="1"/>
    <col min="24" max="24" width="17.5" customWidth="1"/>
    <col min="25" max="25" width="16" customWidth="1"/>
    <col min="26" max="26" width="14.5" customWidth="1"/>
    <col min="27" max="27" width="13.5" customWidth="1"/>
    <col min="28" max="28" width="18.5" customWidth="1"/>
    <col min="29" max="29" width="16" customWidth="1"/>
    <col min="30" max="30" width="17.6640625" customWidth="1"/>
    <col min="31" max="31" width="16.1640625" customWidth="1"/>
    <col min="32" max="32" width="16.33203125" customWidth="1"/>
    <col min="33" max="33" width="18.83203125" customWidth="1"/>
    <col min="34" max="35" width="12.5" bestFit="1" customWidth="1"/>
    <col min="36" max="36" width="13.1640625" customWidth="1"/>
    <col min="37" max="37" width="11.6640625" customWidth="1"/>
  </cols>
  <sheetData>
    <row r="1" spans="1:37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5" t="s">
        <v>1467</v>
      </c>
      <c r="S1" s="25" t="s">
        <v>1468</v>
      </c>
      <c r="T1" s="25" t="s">
        <v>1469</v>
      </c>
      <c r="U1" s="25" t="s">
        <v>1470</v>
      </c>
      <c r="V1" s="25" t="s">
        <v>1473</v>
      </c>
      <c r="W1" s="25" t="s">
        <v>1474</v>
      </c>
      <c r="X1" s="25" t="s">
        <v>1478</v>
      </c>
      <c r="Y1" s="25" t="s">
        <v>1479</v>
      </c>
    </row>
    <row r="2" spans="1:37" ht="20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R2" s="26">
        <f>COUNTBLANK(F2:F1409)</f>
        <v>24</v>
      </c>
      <c r="S2" s="26">
        <f>COUNTBLANK(E2:E1409)</f>
        <v>18</v>
      </c>
      <c r="T2" s="26">
        <f>COUNTBLANK(P2:P1409)</f>
        <v>14</v>
      </c>
      <c r="U2" s="26">
        <f>COUNTBLANK(O2:O1409)</f>
        <v>1336</v>
      </c>
      <c r="V2" s="26">
        <f>COUNTIF(C2:C1409,"Control")</f>
        <v>693</v>
      </c>
      <c r="W2" s="26">
        <f>COUNTIF(C2:C1409,"Treatment")</f>
        <v>715</v>
      </c>
      <c r="X2" s="26">
        <f>_xlfn.QUARTILE.INC(L2:L1409,1)</f>
        <v>0</v>
      </c>
      <c r="Y2" s="26">
        <f>_xlfn.QUARTILE.INC(L2:L1409,3)</f>
        <v>0</v>
      </c>
    </row>
    <row r="3" spans="1:3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3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37" ht="15" thickBot="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37" ht="105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R6" s="38" t="s">
        <v>1502</v>
      </c>
      <c r="S6" s="39" t="s">
        <v>1503</v>
      </c>
      <c r="T6" s="39" t="s">
        <v>1504</v>
      </c>
      <c r="U6" s="39" t="s">
        <v>1505</v>
      </c>
      <c r="V6" s="39" t="s">
        <v>1506</v>
      </c>
      <c r="W6" s="39" t="s">
        <v>1507</v>
      </c>
      <c r="X6" s="39" t="s">
        <v>1508</v>
      </c>
      <c r="Y6" s="39" t="s">
        <v>1509</v>
      </c>
      <c r="Z6" s="39" t="s">
        <v>1510</v>
      </c>
      <c r="AA6" s="39" t="s">
        <v>1511</v>
      </c>
      <c r="AB6" s="39" t="s">
        <v>1512</v>
      </c>
      <c r="AC6" s="39" t="s">
        <v>1513</v>
      </c>
      <c r="AD6" s="39" t="s">
        <v>1515</v>
      </c>
      <c r="AE6" s="39" t="s">
        <v>1516</v>
      </c>
      <c r="AF6" s="40" t="s">
        <v>1517</v>
      </c>
      <c r="AG6" s="38" t="s">
        <v>1518</v>
      </c>
      <c r="AH6" s="39" t="s">
        <v>1519</v>
      </c>
      <c r="AI6" s="39" t="s">
        <v>1520</v>
      </c>
      <c r="AJ6" s="39" t="s">
        <v>1521</v>
      </c>
      <c r="AK6" s="40" t="s">
        <v>1522</v>
      </c>
    </row>
    <row r="7" spans="1:37" ht="21" thickBot="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R7" s="41">
        <f>COUNTIFS($C$2:$C$1409,"Control",$H$2:$H$1409,1)/COUNTIF($C$2:$C$1409,"Control")</f>
        <v>0.63636363636363635</v>
      </c>
      <c r="S7" s="42">
        <f>COUNTIFS($C$2:$C$1409,"Treatment",$H$2:$H$1409,1)/COUNTIF($C$2:$C$1409,"Treatment")</f>
        <v>0.72587412587412592</v>
      </c>
      <c r="T7" s="42">
        <f>COUNTIFS($C$2:$C$1409,"Control",$I$2:$I$1409,1)/COUNTIF($C$2:$C$1409,"Control")</f>
        <v>0.25108225108225107</v>
      </c>
      <c r="U7" s="42">
        <f>COUNTIFS($C$2:$C$1409,"Treatment",$I$2:$I$1409,1)/COUNTIF($C$2:$C$1409,"Treatment")</f>
        <v>0.29090909090909089</v>
      </c>
      <c r="V7" s="42">
        <f>COUNTIFS($C$2:$C$1409,"Control",$J$2:$J$1409,1)/COUNTIF($C$2:$C$1409,"Control")</f>
        <v>0.15584415584415584</v>
      </c>
      <c r="W7" s="42">
        <f>COUNTIFS($C$2:$C$1409,"Treatment",$J$2:$J$1409,1)/COUNTIF($C$2:$C$1409,"Treatment")</f>
        <v>0.21258741258741259</v>
      </c>
      <c r="X7" s="42">
        <f>COUNTIFS($C$2:$C$1409,"Control",$K$2:$K$1409,1)/COUNTIF($C$2:$C$1409,"Control")</f>
        <v>3.1746031746031744E-2</v>
      </c>
      <c r="Y7" s="42">
        <f>COUNTIFS($C$2:$C$1409,"Treatment",$K$2:$K$1409,1)/COUNTIF($C$2:$C$1409,"Treatment")</f>
        <v>6.9930069930069935E-2</v>
      </c>
      <c r="Z7" s="42">
        <f>COUNTIFS($C$2:$C$1409,"Control",$N$2:$N$1409,1)/COUNTIF($C$2:$C$1409,"Control")</f>
        <v>0</v>
      </c>
      <c r="AA7" s="42">
        <f>COUNTIFS($C$2:$C$1409,"Treatment",$N$2:$N$1409,1)/COUNTIF($C$2:$C$1409,"Treatment")</f>
        <v>4.1958041958041958E-3</v>
      </c>
      <c r="AB7" s="42">
        <f>COUNTIFS($C$2:$C$1409,"Control",$M$2:$M$1409,"&gt;0")/COUNTIF($C$2:$C$1409,"Control")</f>
        <v>0.1471861471861472</v>
      </c>
      <c r="AC7" s="42">
        <f>COUNTIFS($C$2:$C$1409,"Treatment",$M$2:$M$1409,"&gt;0")/COUNTIF($C$2:$C$1409,"Treatment")</f>
        <v>0.24755244755244754</v>
      </c>
      <c r="AD7" s="43">
        <f>SUMIFS($L$2:$L$1409,$C$2:$C$1409,"Control")/COUNTIF($C$2:$C$1409,"Control")</f>
        <v>51.74932178932179</v>
      </c>
      <c r="AE7" s="43">
        <f>SUMIFS($L$2:$L$1409,$C$2:$C$1409,"Treatment")/COUNTIF($C$2:$C$1409,"Treatment")</f>
        <v>53.875118881118887</v>
      </c>
      <c r="AF7" s="44">
        <f>SUMIFS($L$2:$L$1409,$C$2:$C$1409,"Control")/COUNTIFS($C$2:$C$1409,"Control",$K$2:$K$1409,1)</f>
        <v>1630.1036363636363</v>
      </c>
      <c r="AG7" s="45">
        <f>SUMIFS($L$2:$L$1409,$C$2:$C$1409,"Treatment")/COUNTIFS($C$2:$C$1409,"Treatment",$K$2:$K$1409,1)</f>
        <v>770.41420000000016</v>
      </c>
      <c r="AH7" s="43">
        <f>AVERAGEIFS($P$2:$P$1409,$C$2:$C$1409,"Control")</f>
        <v>57.026200873362491</v>
      </c>
      <c r="AI7" s="43">
        <f>AVERAGEIFS($P$2:$P$1409,$C$2:$C$1409,"Treatment")</f>
        <v>62.931966053748233</v>
      </c>
      <c r="AJ7" s="43">
        <f>AVERAGEIFS($O$2:$O$1409,$C$2:$C$1409,"Control",$K$2:$K$1409,1)</f>
        <v>8.8636363636363633</v>
      </c>
      <c r="AK7" s="44">
        <f>AVERAGEIFS($O$2:$O$1409,$C$2:$C$1409,"Treatment",$K$2:$K$1409,1)</f>
        <v>6.4</v>
      </c>
    </row>
    <row r="8" spans="1:3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3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3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3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3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W12">
        <v>1</v>
      </c>
    </row>
    <row r="13" spans="1:3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3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R14">
        <f>SUM(K2:K1409)</f>
        <v>72</v>
      </c>
    </row>
    <row r="15" spans="1:3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R15">
        <f>COUNTIF(K2:K1409,1)</f>
        <v>72</v>
      </c>
    </row>
    <row r="16" spans="1:3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2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2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2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U19" t="s">
        <v>1514</v>
      </c>
    </row>
    <row r="20" spans="1:21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2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2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21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21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2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21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2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21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2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2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2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2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92</v>
      </c>
      <c r="B61" s="2">
        <v>45749</v>
      </c>
      <c r="C61" t="s">
        <v>17</v>
      </c>
      <c r="D61" t="s">
        <v>32</v>
      </c>
      <c r="E61" t="s">
        <v>24</v>
      </c>
      <c r="F61" t="s">
        <v>39</v>
      </c>
      <c r="G61" t="s">
        <v>26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53.7</v>
      </c>
    </row>
    <row r="62" spans="1:16">
      <c r="A62" t="s">
        <v>93</v>
      </c>
      <c r="B62" s="2">
        <v>45745</v>
      </c>
      <c r="C62" t="s">
        <v>17</v>
      </c>
      <c r="D62" t="s">
        <v>18</v>
      </c>
      <c r="E62" t="s">
        <v>24</v>
      </c>
      <c r="F62" t="s">
        <v>41</v>
      </c>
      <c r="G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62.2</v>
      </c>
    </row>
    <row r="63" spans="1:16">
      <c r="A63" t="s">
        <v>94</v>
      </c>
      <c r="B63" s="2">
        <v>45792</v>
      </c>
      <c r="C63" t="s">
        <v>17</v>
      </c>
      <c r="D63" t="s">
        <v>32</v>
      </c>
      <c r="E63" t="s">
        <v>19</v>
      </c>
      <c r="F63" t="s">
        <v>25</v>
      </c>
      <c r="G63" t="s">
        <v>26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50.2</v>
      </c>
    </row>
    <row r="64" spans="1:16">
      <c r="A64" t="s">
        <v>95</v>
      </c>
      <c r="B64" s="2">
        <v>45758</v>
      </c>
      <c r="C64" t="s">
        <v>17</v>
      </c>
      <c r="D64" t="s">
        <v>18</v>
      </c>
      <c r="E64" t="s">
        <v>24</v>
      </c>
      <c r="F64" t="s">
        <v>25</v>
      </c>
      <c r="G64" t="s">
        <v>21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74.3</v>
      </c>
    </row>
    <row r="65" spans="1:16">
      <c r="A65" t="s">
        <v>96</v>
      </c>
      <c r="B65" s="2">
        <v>45723</v>
      </c>
      <c r="C65" t="s">
        <v>17</v>
      </c>
      <c r="D65" t="s">
        <v>32</v>
      </c>
      <c r="E65" t="s">
        <v>19</v>
      </c>
      <c r="F65" t="s">
        <v>29</v>
      </c>
      <c r="G65" t="s">
        <v>26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58</v>
      </c>
    </row>
    <row r="66" spans="1:16">
      <c r="A66" t="s">
        <v>97</v>
      </c>
      <c r="B66" s="2">
        <v>45807</v>
      </c>
      <c r="C66" t="s">
        <v>17</v>
      </c>
      <c r="D66" t="s">
        <v>32</v>
      </c>
      <c r="E66" t="s">
        <v>24</v>
      </c>
      <c r="F66" t="s">
        <v>25</v>
      </c>
      <c r="G66" t="s">
        <v>26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46.7</v>
      </c>
    </row>
    <row r="67" spans="1:16">
      <c r="A67" t="s">
        <v>98</v>
      </c>
      <c r="B67" s="2">
        <v>45664</v>
      </c>
      <c r="C67" t="s">
        <v>17</v>
      </c>
      <c r="D67" t="s">
        <v>32</v>
      </c>
      <c r="E67" t="s">
        <v>19</v>
      </c>
      <c r="F67" t="s">
        <v>25</v>
      </c>
      <c r="G67" t="s">
        <v>30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P67">
        <v>49.6</v>
      </c>
    </row>
    <row r="68" spans="1:16">
      <c r="A68" t="s">
        <v>99</v>
      </c>
      <c r="B68" s="2">
        <v>45785</v>
      </c>
      <c r="C68" t="s">
        <v>17</v>
      </c>
      <c r="D68" t="s">
        <v>23</v>
      </c>
      <c r="E68" t="s">
        <v>24</v>
      </c>
      <c r="F68" t="s">
        <v>41</v>
      </c>
      <c r="G68" t="s">
        <v>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60.4</v>
      </c>
    </row>
    <row r="69" spans="1:16">
      <c r="A69" t="s">
        <v>100</v>
      </c>
      <c r="B69" s="2">
        <v>45735</v>
      </c>
      <c r="C69" t="s">
        <v>17</v>
      </c>
      <c r="D69" t="s">
        <v>28</v>
      </c>
      <c r="E69" t="s">
        <v>19</v>
      </c>
      <c r="F69" t="s">
        <v>20</v>
      </c>
      <c r="G69" t="s">
        <v>26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P69">
        <v>55.3</v>
      </c>
    </row>
    <row r="70" spans="1:16">
      <c r="A70" t="s">
        <v>101</v>
      </c>
      <c r="B70" s="2">
        <v>45793</v>
      </c>
      <c r="C70" t="s">
        <v>17</v>
      </c>
      <c r="D70" t="s">
        <v>18</v>
      </c>
      <c r="E70" t="s">
        <v>19</v>
      </c>
      <c r="F70" t="s">
        <v>25</v>
      </c>
      <c r="G70" t="s">
        <v>26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56.2</v>
      </c>
    </row>
    <row r="71" spans="1:16">
      <c r="A71" t="s">
        <v>102</v>
      </c>
      <c r="B71" s="2">
        <v>45724</v>
      </c>
      <c r="C71" t="s">
        <v>17</v>
      </c>
      <c r="D71" t="s">
        <v>23</v>
      </c>
      <c r="E71" t="s">
        <v>24</v>
      </c>
      <c r="F71" t="s">
        <v>20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29.4</v>
      </c>
    </row>
    <row r="72" spans="1:16">
      <c r="A72" t="s">
        <v>103</v>
      </c>
      <c r="B72" s="2">
        <v>45724</v>
      </c>
      <c r="C72" t="s">
        <v>17</v>
      </c>
      <c r="D72" t="s">
        <v>28</v>
      </c>
      <c r="E72" t="s">
        <v>24</v>
      </c>
      <c r="F72" t="s">
        <v>20</v>
      </c>
      <c r="G72" t="s">
        <v>26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54.2</v>
      </c>
    </row>
    <row r="73" spans="1:16">
      <c r="A73" t="s">
        <v>104</v>
      </c>
      <c r="B73" s="2">
        <v>45671</v>
      </c>
      <c r="C73" t="s">
        <v>17</v>
      </c>
      <c r="D73" t="s">
        <v>28</v>
      </c>
      <c r="E73" t="s">
        <v>19</v>
      </c>
      <c r="F73" t="s">
        <v>29</v>
      </c>
      <c r="G73" t="s">
        <v>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46.4</v>
      </c>
    </row>
    <row r="74" spans="1:16">
      <c r="A74" t="s">
        <v>105</v>
      </c>
      <c r="B74" s="2">
        <v>45698</v>
      </c>
      <c r="C74" t="s">
        <v>17</v>
      </c>
      <c r="D74" t="s">
        <v>32</v>
      </c>
      <c r="E74" t="s">
        <v>24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54.5</v>
      </c>
    </row>
    <row r="75" spans="1:16">
      <c r="A75" t="s">
        <v>106</v>
      </c>
      <c r="B75" s="2">
        <v>45733</v>
      </c>
      <c r="C75" t="s">
        <v>17</v>
      </c>
      <c r="D75" t="s">
        <v>18</v>
      </c>
      <c r="E75" t="s">
        <v>24</v>
      </c>
      <c r="F75" t="s">
        <v>25</v>
      </c>
      <c r="G75" t="s">
        <v>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58.5</v>
      </c>
    </row>
    <row r="76" spans="1:16">
      <c r="A76" t="s">
        <v>107</v>
      </c>
      <c r="B76" s="2">
        <v>45666</v>
      </c>
      <c r="C76" t="s">
        <v>17</v>
      </c>
      <c r="D76" t="s">
        <v>32</v>
      </c>
      <c r="E76" t="s">
        <v>24</v>
      </c>
      <c r="F76" t="s">
        <v>20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75.900000000000006</v>
      </c>
    </row>
    <row r="77" spans="1:16">
      <c r="A77" t="s">
        <v>108</v>
      </c>
      <c r="B77" s="2">
        <v>45764</v>
      </c>
      <c r="C77" t="s">
        <v>17</v>
      </c>
      <c r="D77" t="s">
        <v>18</v>
      </c>
      <c r="E77" t="s">
        <v>24</v>
      </c>
      <c r="F77" t="s">
        <v>39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P77">
        <v>84.9</v>
      </c>
    </row>
    <row r="78" spans="1:16">
      <c r="A78" t="s">
        <v>109</v>
      </c>
      <c r="B78" s="2">
        <v>45673</v>
      </c>
      <c r="C78" t="s">
        <v>17</v>
      </c>
      <c r="D78" t="s">
        <v>18</v>
      </c>
      <c r="E78" t="s">
        <v>24</v>
      </c>
      <c r="F78" t="s">
        <v>25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P78">
        <v>48.4</v>
      </c>
    </row>
    <row r="79" spans="1:16">
      <c r="A79" t="s">
        <v>111</v>
      </c>
      <c r="B79" s="2">
        <v>45798</v>
      </c>
      <c r="C79" t="s">
        <v>17</v>
      </c>
      <c r="D79" t="s">
        <v>28</v>
      </c>
      <c r="E79" t="s">
        <v>24</v>
      </c>
      <c r="F79" t="s">
        <v>41</v>
      </c>
      <c r="G79" t="s">
        <v>26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44.2</v>
      </c>
    </row>
    <row r="80" spans="1:16">
      <c r="A80" t="s">
        <v>112</v>
      </c>
      <c r="B80" s="2">
        <v>45785</v>
      </c>
      <c r="C80" t="s">
        <v>17</v>
      </c>
      <c r="D80" t="s">
        <v>32</v>
      </c>
      <c r="E80" t="s">
        <v>24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P80">
        <v>81.2</v>
      </c>
    </row>
    <row r="81" spans="1:16">
      <c r="A81" t="s">
        <v>113</v>
      </c>
      <c r="B81" s="2">
        <v>45724</v>
      </c>
      <c r="C81" t="s">
        <v>17</v>
      </c>
      <c r="D81" t="s">
        <v>32</v>
      </c>
      <c r="E81" t="s">
        <v>24</v>
      </c>
      <c r="F81" t="s">
        <v>39</v>
      </c>
      <c r="G81" t="s">
        <v>26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P81">
        <v>63.8</v>
      </c>
    </row>
    <row r="82" spans="1:16">
      <c r="A82" t="s">
        <v>114</v>
      </c>
      <c r="B82" s="2">
        <v>45748</v>
      </c>
      <c r="C82" t="s">
        <v>17</v>
      </c>
      <c r="D82" t="s">
        <v>32</v>
      </c>
      <c r="E82" t="s">
        <v>19</v>
      </c>
      <c r="F82" t="s">
        <v>20</v>
      </c>
      <c r="G82" t="s">
        <v>26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64.7</v>
      </c>
    </row>
    <row r="83" spans="1:16">
      <c r="A83" t="s">
        <v>115</v>
      </c>
      <c r="B83" s="2">
        <v>45719</v>
      </c>
      <c r="C83" t="s">
        <v>17</v>
      </c>
      <c r="D83" t="s">
        <v>23</v>
      </c>
      <c r="E83" t="s">
        <v>24</v>
      </c>
      <c r="F83" t="s">
        <v>41</v>
      </c>
      <c r="G83" t="s">
        <v>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60.4</v>
      </c>
    </row>
    <row r="84" spans="1:16">
      <c r="A84" t="s">
        <v>116</v>
      </c>
      <c r="B84" s="2">
        <v>45763</v>
      </c>
      <c r="C84" t="s">
        <v>17</v>
      </c>
      <c r="D84" t="s">
        <v>32</v>
      </c>
      <c r="E84" t="s">
        <v>24</v>
      </c>
      <c r="F84" t="s">
        <v>29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66.599999999999994</v>
      </c>
    </row>
    <row r="85" spans="1:16">
      <c r="A85" t="s">
        <v>117</v>
      </c>
      <c r="B85" s="2">
        <v>45666</v>
      </c>
      <c r="C85" t="s">
        <v>17</v>
      </c>
      <c r="D85" t="s">
        <v>18</v>
      </c>
      <c r="E85" t="s">
        <v>19</v>
      </c>
      <c r="F85" t="s">
        <v>25</v>
      </c>
      <c r="G85" t="s">
        <v>26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50.9</v>
      </c>
    </row>
    <row r="86" spans="1:16">
      <c r="A86" t="s">
        <v>118</v>
      </c>
      <c r="B86" s="2">
        <v>45679</v>
      </c>
      <c r="C86" t="s">
        <v>17</v>
      </c>
      <c r="D86" t="s">
        <v>23</v>
      </c>
      <c r="E86" t="s">
        <v>19</v>
      </c>
      <c r="F86" t="s">
        <v>41</v>
      </c>
      <c r="G86" t="s">
        <v>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51</v>
      </c>
    </row>
    <row r="87" spans="1:16">
      <c r="A87" t="s">
        <v>119</v>
      </c>
      <c r="B87" s="2">
        <v>45777</v>
      </c>
      <c r="C87" t="s">
        <v>17</v>
      </c>
      <c r="D87" t="s">
        <v>32</v>
      </c>
      <c r="E87" t="s">
        <v>24</v>
      </c>
      <c r="F87" t="s">
        <v>20</v>
      </c>
      <c r="G87" t="s">
        <v>30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65.8</v>
      </c>
    </row>
    <row r="88" spans="1:16">
      <c r="A88" t="s">
        <v>120</v>
      </c>
      <c r="B88" s="2">
        <v>45772</v>
      </c>
      <c r="C88" t="s">
        <v>17</v>
      </c>
      <c r="D88" t="s">
        <v>18</v>
      </c>
      <c r="E88" t="s">
        <v>24</v>
      </c>
      <c r="F88" t="s">
        <v>39</v>
      </c>
      <c r="G88" t="s">
        <v>21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61.8</v>
      </c>
    </row>
    <row r="89" spans="1:16">
      <c r="A89" t="s">
        <v>121</v>
      </c>
      <c r="B89" s="2">
        <v>45689</v>
      </c>
      <c r="C89" t="s">
        <v>17</v>
      </c>
      <c r="D89" t="s">
        <v>18</v>
      </c>
      <c r="E89" t="s">
        <v>24</v>
      </c>
      <c r="F89" t="s">
        <v>25</v>
      </c>
      <c r="G89" t="s">
        <v>21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54.5</v>
      </c>
    </row>
    <row r="90" spans="1:16">
      <c r="A90" t="s">
        <v>122</v>
      </c>
      <c r="B90" s="2">
        <v>45770</v>
      </c>
      <c r="C90" t="s">
        <v>17</v>
      </c>
      <c r="D90" t="s">
        <v>32</v>
      </c>
      <c r="E90" t="s">
        <v>19</v>
      </c>
      <c r="F90" t="s">
        <v>25</v>
      </c>
      <c r="G90" t="s">
        <v>26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72.2</v>
      </c>
    </row>
    <row r="91" spans="1:16">
      <c r="A91" t="s">
        <v>123</v>
      </c>
      <c r="B91" s="2">
        <v>45715</v>
      </c>
      <c r="C91" t="s">
        <v>17</v>
      </c>
      <c r="D91" t="s">
        <v>32</v>
      </c>
      <c r="E91" t="s">
        <v>24</v>
      </c>
      <c r="F91" t="s">
        <v>41</v>
      </c>
      <c r="G91" t="s">
        <v>26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42.3</v>
      </c>
    </row>
    <row r="92" spans="1:16">
      <c r="A92" t="s">
        <v>124</v>
      </c>
      <c r="B92" s="2">
        <v>45756</v>
      </c>
      <c r="C92" t="s">
        <v>17</v>
      </c>
      <c r="D92" t="s">
        <v>28</v>
      </c>
      <c r="E92" t="s">
        <v>19</v>
      </c>
      <c r="F92" t="s">
        <v>25</v>
      </c>
      <c r="G92" t="s">
        <v>21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76.2</v>
      </c>
    </row>
    <row r="93" spans="1:16">
      <c r="A93" t="s">
        <v>125</v>
      </c>
      <c r="B93" s="2">
        <v>45790</v>
      </c>
      <c r="C93" t="s">
        <v>17</v>
      </c>
      <c r="D93" t="s">
        <v>32</v>
      </c>
      <c r="E93" t="s">
        <v>34</v>
      </c>
      <c r="F93" t="s">
        <v>25</v>
      </c>
      <c r="G93" t="s">
        <v>30</v>
      </c>
      <c r="H93">
        <v>1</v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P93">
        <v>37.4</v>
      </c>
    </row>
    <row r="94" spans="1:16">
      <c r="A94" t="s">
        <v>126</v>
      </c>
      <c r="B94" s="2">
        <v>45760</v>
      </c>
      <c r="C94" t="s">
        <v>17</v>
      </c>
      <c r="D94" t="s">
        <v>28</v>
      </c>
      <c r="E94" t="s">
        <v>24</v>
      </c>
      <c r="F94" t="s">
        <v>25</v>
      </c>
      <c r="G94" t="s">
        <v>26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84.2</v>
      </c>
    </row>
    <row r="95" spans="1:16">
      <c r="A95" t="s">
        <v>127</v>
      </c>
      <c r="B95" s="2">
        <v>45693</v>
      </c>
      <c r="C95" t="s">
        <v>17</v>
      </c>
      <c r="D95" t="s">
        <v>28</v>
      </c>
      <c r="E95" t="s">
        <v>24</v>
      </c>
      <c r="F95" t="s">
        <v>41</v>
      </c>
      <c r="G95" t="s">
        <v>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68</v>
      </c>
    </row>
    <row r="96" spans="1:16">
      <c r="A96" t="s">
        <v>128</v>
      </c>
      <c r="B96" s="2">
        <v>45702</v>
      </c>
      <c r="C96" t="s">
        <v>17</v>
      </c>
      <c r="D96" t="s">
        <v>23</v>
      </c>
      <c r="E96" t="s">
        <v>24</v>
      </c>
      <c r="F96" t="s">
        <v>25</v>
      </c>
      <c r="G96" t="s">
        <v>21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53.5</v>
      </c>
    </row>
    <row r="97" spans="1:16">
      <c r="A97" t="s">
        <v>129</v>
      </c>
      <c r="B97" s="2">
        <v>45699</v>
      </c>
      <c r="C97" t="s">
        <v>17</v>
      </c>
      <c r="D97" t="s">
        <v>18</v>
      </c>
      <c r="E97" t="s">
        <v>19</v>
      </c>
      <c r="F97" t="s">
        <v>25</v>
      </c>
      <c r="G97" t="s">
        <v>30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63.2</v>
      </c>
    </row>
    <row r="98" spans="1:16">
      <c r="A98" t="s">
        <v>131</v>
      </c>
      <c r="B98" s="2">
        <v>45803</v>
      </c>
      <c r="C98" t="s">
        <v>17</v>
      </c>
      <c r="D98" t="s">
        <v>18</v>
      </c>
      <c r="E98" t="s">
        <v>24</v>
      </c>
      <c r="F98" t="s">
        <v>25</v>
      </c>
      <c r="G98" t="s">
        <v>26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63.5</v>
      </c>
    </row>
    <row r="99" spans="1:16">
      <c r="A99" t="s">
        <v>132</v>
      </c>
      <c r="B99" s="2">
        <v>45738</v>
      </c>
      <c r="C99" t="s">
        <v>17</v>
      </c>
      <c r="D99" t="s">
        <v>18</v>
      </c>
      <c r="E99" t="s">
        <v>24</v>
      </c>
      <c r="F99" t="s">
        <v>29</v>
      </c>
      <c r="G99" t="s">
        <v>21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51.5</v>
      </c>
    </row>
    <row r="100" spans="1:16">
      <c r="A100" t="s">
        <v>133</v>
      </c>
      <c r="B100" s="2">
        <v>45755</v>
      </c>
      <c r="C100" t="s">
        <v>17</v>
      </c>
      <c r="D100" t="s">
        <v>23</v>
      </c>
      <c r="E100" t="s">
        <v>24</v>
      </c>
      <c r="F100" t="s">
        <v>29</v>
      </c>
      <c r="G100" t="s">
        <v>26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74.400000000000006</v>
      </c>
    </row>
    <row r="101" spans="1:16">
      <c r="A101" t="s">
        <v>135</v>
      </c>
      <c r="B101" s="2">
        <v>45743</v>
      </c>
      <c r="C101" t="s">
        <v>17</v>
      </c>
      <c r="D101" t="s">
        <v>32</v>
      </c>
      <c r="E101" t="s">
        <v>24</v>
      </c>
      <c r="F101" t="s">
        <v>20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P101">
        <v>67.2</v>
      </c>
    </row>
    <row r="102" spans="1:16">
      <c r="A102" t="s">
        <v>136</v>
      </c>
      <c r="B102" s="2">
        <v>45662</v>
      </c>
      <c r="C102" t="s">
        <v>17</v>
      </c>
      <c r="D102" t="s">
        <v>32</v>
      </c>
      <c r="E102" t="s">
        <v>24</v>
      </c>
      <c r="F102" t="s">
        <v>41</v>
      </c>
      <c r="G102" t="s">
        <v>26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P102">
        <v>79.599999999999994</v>
      </c>
    </row>
    <row r="103" spans="1:16">
      <c r="A103" t="s">
        <v>138</v>
      </c>
      <c r="B103" s="2">
        <v>45680</v>
      </c>
      <c r="C103" t="s">
        <v>17</v>
      </c>
      <c r="D103" t="s">
        <v>23</v>
      </c>
      <c r="E103" t="s">
        <v>24</v>
      </c>
      <c r="F103" t="s">
        <v>20</v>
      </c>
      <c r="G103" t="s">
        <v>26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4</v>
      </c>
      <c r="N103">
        <v>0</v>
      </c>
      <c r="P103">
        <v>51.1</v>
      </c>
    </row>
    <row r="104" spans="1:16">
      <c r="A104" t="s">
        <v>139</v>
      </c>
      <c r="B104" s="2">
        <v>45802</v>
      </c>
      <c r="C104" t="s">
        <v>17</v>
      </c>
      <c r="D104" t="s">
        <v>28</v>
      </c>
      <c r="E104" t="s">
        <v>19</v>
      </c>
      <c r="F104" t="s">
        <v>39</v>
      </c>
      <c r="G104" t="s">
        <v>26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92.1</v>
      </c>
    </row>
    <row r="105" spans="1:16">
      <c r="A105" t="s">
        <v>140</v>
      </c>
      <c r="B105" s="2">
        <v>45738</v>
      </c>
      <c r="C105" t="s">
        <v>17</v>
      </c>
      <c r="D105" t="s">
        <v>32</v>
      </c>
      <c r="E105" t="s">
        <v>24</v>
      </c>
      <c r="F105" t="s">
        <v>39</v>
      </c>
      <c r="G105" t="s">
        <v>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82.1</v>
      </c>
    </row>
    <row r="106" spans="1:16">
      <c r="A106" t="s">
        <v>141</v>
      </c>
      <c r="B106" s="2">
        <v>45700</v>
      </c>
      <c r="C106" t="s">
        <v>17</v>
      </c>
      <c r="D106" t="s">
        <v>23</v>
      </c>
      <c r="E106" t="s">
        <v>19</v>
      </c>
      <c r="F106" t="s">
        <v>29</v>
      </c>
      <c r="G106" t="s">
        <v>21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P106">
        <v>74</v>
      </c>
    </row>
    <row r="107" spans="1:16">
      <c r="A107" t="s">
        <v>142</v>
      </c>
      <c r="B107" s="2">
        <v>45775</v>
      </c>
      <c r="C107" t="s">
        <v>17</v>
      </c>
      <c r="D107" t="s">
        <v>23</v>
      </c>
      <c r="E107" t="s">
        <v>19</v>
      </c>
      <c r="F107" t="s">
        <v>25</v>
      </c>
      <c r="G107" t="s">
        <v>21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63.4</v>
      </c>
    </row>
    <row r="108" spans="1:16">
      <c r="A108" t="s">
        <v>143</v>
      </c>
      <c r="B108" s="2">
        <v>45687</v>
      </c>
      <c r="C108" t="s">
        <v>17</v>
      </c>
      <c r="D108" t="s">
        <v>18</v>
      </c>
      <c r="E108" t="s">
        <v>24</v>
      </c>
      <c r="F108" t="s">
        <v>25</v>
      </c>
      <c r="G108" t="s">
        <v>21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53.2</v>
      </c>
    </row>
    <row r="109" spans="1:16">
      <c r="A109" t="s">
        <v>144</v>
      </c>
      <c r="B109" s="2">
        <v>45796</v>
      </c>
      <c r="C109" t="s">
        <v>17</v>
      </c>
      <c r="D109" t="s">
        <v>28</v>
      </c>
      <c r="E109" t="s">
        <v>34</v>
      </c>
      <c r="F109" t="s">
        <v>29</v>
      </c>
      <c r="G109" t="s">
        <v>26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48.1</v>
      </c>
    </row>
    <row r="110" spans="1:16">
      <c r="A110" t="s">
        <v>145</v>
      </c>
      <c r="B110" s="2">
        <v>45680</v>
      </c>
      <c r="C110" t="s">
        <v>17</v>
      </c>
      <c r="D110" t="s">
        <v>32</v>
      </c>
      <c r="E110" t="s">
        <v>24</v>
      </c>
      <c r="F110" t="s">
        <v>41</v>
      </c>
      <c r="G110" t="s">
        <v>26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61.5</v>
      </c>
    </row>
    <row r="111" spans="1:16">
      <c r="A111" t="s">
        <v>146</v>
      </c>
      <c r="B111" s="2">
        <v>45744</v>
      </c>
      <c r="C111" t="s">
        <v>17</v>
      </c>
      <c r="D111" t="s">
        <v>28</v>
      </c>
      <c r="E111" t="s">
        <v>19</v>
      </c>
      <c r="F111" t="s">
        <v>41</v>
      </c>
      <c r="G111" t="s">
        <v>26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63.2</v>
      </c>
    </row>
    <row r="112" spans="1:16">
      <c r="A112" t="s">
        <v>147</v>
      </c>
      <c r="B112" s="2">
        <v>45668</v>
      </c>
      <c r="C112" t="s">
        <v>17</v>
      </c>
      <c r="D112" t="s">
        <v>23</v>
      </c>
      <c r="E112" t="s">
        <v>24</v>
      </c>
      <c r="F112" t="s">
        <v>25</v>
      </c>
      <c r="G112" t="s">
        <v>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71.900000000000006</v>
      </c>
    </row>
    <row r="113" spans="1:16">
      <c r="A113" t="s">
        <v>148</v>
      </c>
      <c r="B113" s="2">
        <v>45758</v>
      </c>
      <c r="C113" t="s">
        <v>17</v>
      </c>
      <c r="D113" t="s">
        <v>18</v>
      </c>
      <c r="E113" t="s">
        <v>24</v>
      </c>
      <c r="F113" t="s">
        <v>39</v>
      </c>
      <c r="G113" t="s">
        <v>26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62.7</v>
      </c>
    </row>
    <row r="114" spans="1:16">
      <c r="A114" t="s">
        <v>149</v>
      </c>
      <c r="B114" s="2">
        <v>45659</v>
      </c>
      <c r="C114" t="s">
        <v>17</v>
      </c>
      <c r="D114" t="s">
        <v>23</v>
      </c>
      <c r="E114" t="s">
        <v>24</v>
      </c>
      <c r="F114" t="s">
        <v>29</v>
      </c>
      <c r="G114" t="s">
        <v>26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51.5</v>
      </c>
    </row>
    <row r="115" spans="1:16">
      <c r="A115" t="s">
        <v>150</v>
      </c>
      <c r="B115" s="2">
        <v>45734</v>
      </c>
      <c r="C115" t="s">
        <v>17</v>
      </c>
      <c r="D115" t="s">
        <v>28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P115">
        <v>39.1</v>
      </c>
    </row>
    <row r="116" spans="1:16">
      <c r="A116" t="s">
        <v>151</v>
      </c>
      <c r="B116" s="2">
        <v>45747</v>
      </c>
      <c r="C116" t="s">
        <v>17</v>
      </c>
      <c r="D116" t="s">
        <v>18</v>
      </c>
      <c r="E116" t="s">
        <v>24</v>
      </c>
      <c r="F116" t="s">
        <v>20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43.8</v>
      </c>
    </row>
    <row r="117" spans="1:16">
      <c r="A117" t="s">
        <v>152</v>
      </c>
      <c r="B117" s="2">
        <v>45663</v>
      </c>
      <c r="C117" t="s">
        <v>17</v>
      </c>
      <c r="D117" t="s">
        <v>18</v>
      </c>
      <c r="E117" t="s">
        <v>24</v>
      </c>
      <c r="F117" t="s">
        <v>29</v>
      </c>
      <c r="G117" t="s">
        <v>21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59.9</v>
      </c>
    </row>
    <row r="118" spans="1:16">
      <c r="A118" t="s">
        <v>153</v>
      </c>
      <c r="B118" s="2">
        <v>45683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71.400000000000006</v>
      </c>
    </row>
    <row r="119" spans="1:16">
      <c r="A119" t="s">
        <v>154</v>
      </c>
      <c r="B119" s="2">
        <v>45769</v>
      </c>
      <c r="C119" t="s">
        <v>17</v>
      </c>
      <c r="D119" t="s">
        <v>32</v>
      </c>
      <c r="E119" t="s">
        <v>24</v>
      </c>
      <c r="F119" t="s">
        <v>39</v>
      </c>
      <c r="G119" t="s">
        <v>21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36.1</v>
      </c>
    </row>
    <row r="120" spans="1:16">
      <c r="A120" t="s">
        <v>155</v>
      </c>
      <c r="B120" s="2">
        <v>45807</v>
      </c>
      <c r="C120" t="s">
        <v>17</v>
      </c>
      <c r="D120" t="s">
        <v>23</v>
      </c>
      <c r="F120" t="s">
        <v>20</v>
      </c>
      <c r="G120" t="s">
        <v>21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47.9</v>
      </c>
    </row>
    <row r="121" spans="1:16">
      <c r="A121" t="s">
        <v>156</v>
      </c>
      <c r="B121" s="2">
        <v>45795</v>
      </c>
      <c r="C121" t="s">
        <v>17</v>
      </c>
      <c r="D121" t="s">
        <v>23</v>
      </c>
      <c r="E121" t="s">
        <v>19</v>
      </c>
      <c r="F121" t="s">
        <v>25</v>
      </c>
      <c r="G121" t="s">
        <v>30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62.5</v>
      </c>
    </row>
    <row r="122" spans="1:16">
      <c r="A122" t="s">
        <v>157</v>
      </c>
      <c r="B122" s="2">
        <v>45670</v>
      </c>
      <c r="C122" t="s">
        <v>17</v>
      </c>
      <c r="D122" t="s">
        <v>32</v>
      </c>
      <c r="E122" t="s">
        <v>19</v>
      </c>
      <c r="F122" t="s">
        <v>29</v>
      </c>
      <c r="G122" t="s">
        <v>30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56.9</v>
      </c>
    </row>
    <row r="123" spans="1:16">
      <c r="A123" t="s">
        <v>158</v>
      </c>
      <c r="B123" s="2">
        <v>45741</v>
      </c>
      <c r="C123" t="s">
        <v>17</v>
      </c>
      <c r="D123" t="s">
        <v>18</v>
      </c>
      <c r="E123" t="s">
        <v>19</v>
      </c>
      <c r="F123" t="s">
        <v>20</v>
      </c>
      <c r="G123" t="s">
        <v>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64.7</v>
      </c>
    </row>
    <row r="124" spans="1:16">
      <c r="A124" t="s">
        <v>159</v>
      </c>
      <c r="B124" s="2">
        <v>45776</v>
      </c>
      <c r="C124" t="s">
        <v>17</v>
      </c>
      <c r="D124" t="s">
        <v>32</v>
      </c>
      <c r="E124" t="s">
        <v>19</v>
      </c>
      <c r="F124" t="s">
        <v>25</v>
      </c>
      <c r="G124" t="s">
        <v>26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P124">
        <v>64</v>
      </c>
    </row>
    <row r="125" spans="1:16">
      <c r="A125" t="s">
        <v>160</v>
      </c>
      <c r="B125" s="2">
        <v>45794</v>
      </c>
      <c r="C125" t="s">
        <v>17</v>
      </c>
      <c r="D125" t="s">
        <v>28</v>
      </c>
      <c r="E125" t="s">
        <v>24</v>
      </c>
      <c r="F125" t="s">
        <v>39</v>
      </c>
      <c r="G125" t="s">
        <v>21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P125">
        <v>75.2</v>
      </c>
    </row>
    <row r="126" spans="1:16">
      <c r="A126" t="s">
        <v>161</v>
      </c>
      <c r="B126" s="2">
        <v>45659</v>
      </c>
      <c r="C126" t="s">
        <v>17</v>
      </c>
      <c r="D126" t="s">
        <v>18</v>
      </c>
      <c r="E126" t="s">
        <v>24</v>
      </c>
      <c r="F126" t="s">
        <v>29</v>
      </c>
      <c r="G126" t="s">
        <v>26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P126">
        <v>79</v>
      </c>
    </row>
    <row r="127" spans="1:16">
      <c r="A127" t="s">
        <v>162</v>
      </c>
      <c r="B127" s="2">
        <v>45691</v>
      </c>
      <c r="C127" t="s">
        <v>17</v>
      </c>
      <c r="D127" t="s">
        <v>32</v>
      </c>
      <c r="E127" t="s">
        <v>24</v>
      </c>
      <c r="F127" t="s">
        <v>25</v>
      </c>
      <c r="G127" t="s">
        <v>26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33</v>
      </c>
    </row>
    <row r="128" spans="1:16">
      <c r="A128" t="s">
        <v>163</v>
      </c>
      <c r="B128" s="2">
        <v>45720</v>
      </c>
      <c r="C128" t="s">
        <v>17</v>
      </c>
      <c r="D128" t="s">
        <v>28</v>
      </c>
      <c r="E128" t="s">
        <v>24</v>
      </c>
      <c r="F128" t="s">
        <v>25</v>
      </c>
      <c r="G128" t="s">
        <v>26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67.900000000000006</v>
      </c>
    </row>
    <row r="129" spans="1:16">
      <c r="A129" t="s">
        <v>164</v>
      </c>
      <c r="B129" s="2">
        <v>45683</v>
      </c>
      <c r="C129" t="s">
        <v>17</v>
      </c>
      <c r="D129" t="s">
        <v>32</v>
      </c>
      <c r="E129" t="s">
        <v>24</v>
      </c>
      <c r="F129" t="s">
        <v>29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42.2</v>
      </c>
    </row>
    <row r="130" spans="1:16">
      <c r="A130" t="s">
        <v>165</v>
      </c>
      <c r="B130" s="2">
        <v>45789</v>
      </c>
      <c r="C130" t="s">
        <v>17</v>
      </c>
      <c r="D130" t="s">
        <v>23</v>
      </c>
      <c r="E130" t="s">
        <v>24</v>
      </c>
      <c r="F130" t="s">
        <v>29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43.4</v>
      </c>
    </row>
    <row r="131" spans="1:16">
      <c r="A131" t="s">
        <v>166</v>
      </c>
      <c r="B131" s="2">
        <v>45722</v>
      </c>
      <c r="C131" t="s">
        <v>17</v>
      </c>
      <c r="D131" t="s">
        <v>18</v>
      </c>
      <c r="E131" t="s">
        <v>24</v>
      </c>
      <c r="F131" t="s">
        <v>25</v>
      </c>
      <c r="G131" t="s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54.4</v>
      </c>
    </row>
    <row r="132" spans="1:16">
      <c r="A132" t="s">
        <v>167</v>
      </c>
      <c r="B132" s="2">
        <v>45726</v>
      </c>
      <c r="C132" t="s">
        <v>17</v>
      </c>
      <c r="D132" t="s">
        <v>32</v>
      </c>
      <c r="E132" t="s">
        <v>19</v>
      </c>
      <c r="F132" t="s">
        <v>20</v>
      </c>
      <c r="G132" t="s">
        <v>30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45.7</v>
      </c>
    </row>
    <row r="133" spans="1:16">
      <c r="A133" t="s">
        <v>168</v>
      </c>
      <c r="B133" s="2">
        <v>45783</v>
      </c>
      <c r="C133" t="s">
        <v>17</v>
      </c>
      <c r="D133" t="s">
        <v>18</v>
      </c>
      <c r="E133" t="s">
        <v>24</v>
      </c>
      <c r="F133" t="s">
        <v>29</v>
      </c>
      <c r="G133" t="s">
        <v>26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P133">
        <v>32</v>
      </c>
    </row>
    <row r="134" spans="1:16">
      <c r="A134" t="s">
        <v>169</v>
      </c>
      <c r="B134" s="2">
        <v>45711</v>
      </c>
      <c r="C134" t="s">
        <v>17</v>
      </c>
      <c r="D134" t="s">
        <v>32</v>
      </c>
      <c r="E134" t="s">
        <v>19</v>
      </c>
      <c r="F134" t="s">
        <v>29</v>
      </c>
      <c r="G134" t="s">
        <v>26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70.900000000000006</v>
      </c>
    </row>
    <row r="135" spans="1:16">
      <c r="A135" t="s">
        <v>170</v>
      </c>
      <c r="B135" s="2">
        <v>45686</v>
      </c>
      <c r="C135" t="s">
        <v>17</v>
      </c>
      <c r="D135" t="s">
        <v>23</v>
      </c>
      <c r="E135" t="s">
        <v>24</v>
      </c>
      <c r="F135" t="s">
        <v>41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59.1</v>
      </c>
    </row>
    <row r="136" spans="1:16">
      <c r="A136" t="s">
        <v>171</v>
      </c>
      <c r="B136" s="2">
        <v>45688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62.4</v>
      </c>
    </row>
    <row r="137" spans="1:16">
      <c r="A137" t="s">
        <v>172</v>
      </c>
      <c r="B137" s="2">
        <v>45676</v>
      </c>
      <c r="C137" t="s">
        <v>17</v>
      </c>
      <c r="D137" t="s">
        <v>32</v>
      </c>
      <c r="E137" t="s">
        <v>24</v>
      </c>
      <c r="F137" t="s">
        <v>25</v>
      </c>
      <c r="G137" t="s">
        <v>26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49.6</v>
      </c>
    </row>
    <row r="138" spans="1:16">
      <c r="A138" t="s">
        <v>174</v>
      </c>
      <c r="B138" s="2">
        <v>45754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47.9</v>
      </c>
    </row>
    <row r="139" spans="1:16">
      <c r="A139" t="s">
        <v>175</v>
      </c>
      <c r="B139" s="2">
        <v>45663</v>
      </c>
      <c r="C139" t="s">
        <v>17</v>
      </c>
      <c r="D139" t="s">
        <v>28</v>
      </c>
      <c r="E139" t="s">
        <v>24</v>
      </c>
      <c r="F139" t="s">
        <v>29</v>
      </c>
      <c r="G139" t="s">
        <v>21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54.8</v>
      </c>
    </row>
    <row r="140" spans="1:16">
      <c r="A140" t="s">
        <v>176</v>
      </c>
      <c r="B140" s="2">
        <v>45758</v>
      </c>
      <c r="C140" t="s">
        <v>17</v>
      </c>
      <c r="D140" t="s">
        <v>28</v>
      </c>
      <c r="E140" t="s">
        <v>24</v>
      </c>
      <c r="F140" t="s">
        <v>25</v>
      </c>
      <c r="G140" t="s">
        <v>26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P140">
        <v>53.9</v>
      </c>
    </row>
    <row r="141" spans="1:16">
      <c r="A141" t="s">
        <v>177</v>
      </c>
      <c r="B141" s="2">
        <v>45770</v>
      </c>
      <c r="C141" t="s">
        <v>17</v>
      </c>
      <c r="D141" t="s">
        <v>28</v>
      </c>
      <c r="E141" t="s">
        <v>24</v>
      </c>
      <c r="F141" t="s">
        <v>29</v>
      </c>
      <c r="G141" t="s">
        <v>26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41.3</v>
      </c>
    </row>
    <row r="142" spans="1:16">
      <c r="A142" t="s">
        <v>178</v>
      </c>
      <c r="B142" s="2">
        <v>45741</v>
      </c>
      <c r="C142" t="s">
        <v>17</v>
      </c>
      <c r="D142" t="s">
        <v>23</v>
      </c>
      <c r="E142" t="s">
        <v>24</v>
      </c>
      <c r="F142" t="s">
        <v>25</v>
      </c>
      <c r="G142" t="s">
        <v>21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38.9</v>
      </c>
    </row>
    <row r="143" spans="1:16">
      <c r="A143" t="s">
        <v>179</v>
      </c>
      <c r="B143" s="2">
        <v>45802</v>
      </c>
      <c r="C143" t="s">
        <v>17</v>
      </c>
      <c r="D143" t="s">
        <v>32</v>
      </c>
      <c r="E143" t="s">
        <v>19</v>
      </c>
      <c r="F143" t="s">
        <v>25</v>
      </c>
      <c r="G143" t="s">
        <v>21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63.6</v>
      </c>
    </row>
    <row r="144" spans="1:16">
      <c r="A144" t="s">
        <v>181</v>
      </c>
      <c r="B144" s="2">
        <v>45700</v>
      </c>
      <c r="C144" t="s">
        <v>17</v>
      </c>
      <c r="D144" t="s">
        <v>23</v>
      </c>
      <c r="E144" t="s">
        <v>24</v>
      </c>
      <c r="F144" t="s">
        <v>29</v>
      </c>
      <c r="G144" t="s">
        <v>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67.599999999999994</v>
      </c>
    </row>
    <row r="145" spans="1:16">
      <c r="A145" t="s">
        <v>182</v>
      </c>
      <c r="B145" s="2">
        <v>45776</v>
      </c>
      <c r="C145" t="s">
        <v>17</v>
      </c>
      <c r="D145" t="s">
        <v>18</v>
      </c>
      <c r="E145" t="s">
        <v>24</v>
      </c>
      <c r="F145" t="s">
        <v>41</v>
      </c>
      <c r="G145" t="s">
        <v>30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43.1</v>
      </c>
    </row>
    <row r="146" spans="1:16">
      <c r="A146" t="s">
        <v>183</v>
      </c>
      <c r="B146" s="2">
        <v>45729</v>
      </c>
      <c r="C146" t="s">
        <v>17</v>
      </c>
      <c r="D146" t="s">
        <v>32</v>
      </c>
      <c r="E146" t="s">
        <v>24</v>
      </c>
      <c r="F146" t="s">
        <v>20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58.3</v>
      </c>
    </row>
    <row r="147" spans="1:16">
      <c r="A147" t="s">
        <v>184</v>
      </c>
      <c r="B147" s="2">
        <v>45692</v>
      </c>
      <c r="C147" t="s">
        <v>17</v>
      </c>
      <c r="D147" t="s">
        <v>28</v>
      </c>
      <c r="E147" t="s">
        <v>19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69.8</v>
      </c>
    </row>
    <row r="148" spans="1:16">
      <c r="A148" t="s">
        <v>185</v>
      </c>
      <c r="B148" s="2">
        <v>45720</v>
      </c>
      <c r="C148" t="s">
        <v>17</v>
      </c>
      <c r="D148" t="s">
        <v>32</v>
      </c>
      <c r="E148" t="s">
        <v>24</v>
      </c>
      <c r="F148" t="s">
        <v>39</v>
      </c>
      <c r="G148" t="s">
        <v>26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6">
      <c r="A149" t="s">
        <v>186</v>
      </c>
      <c r="B149" s="2">
        <v>45692</v>
      </c>
      <c r="C149" t="s">
        <v>17</v>
      </c>
      <c r="D149" t="s">
        <v>23</v>
      </c>
      <c r="E149" t="s">
        <v>24</v>
      </c>
      <c r="F149" t="s">
        <v>29</v>
      </c>
      <c r="G149" t="s">
        <v>21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41.9</v>
      </c>
    </row>
    <row r="150" spans="1:16">
      <c r="A150" t="s">
        <v>187</v>
      </c>
      <c r="B150" s="2">
        <v>45727</v>
      </c>
      <c r="C150" t="s">
        <v>17</v>
      </c>
      <c r="D150" t="s">
        <v>18</v>
      </c>
      <c r="E150" t="s">
        <v>19</v>
      </c>
      <c r="F150" t="s">
        <v>25</v>
      </c>
      <c r="G150" t="s">
        <v>26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33.1</v>
      </c>
    </row>
    <row r="151" spans="1:16">
      <c r="A151" t="s">
        <v>188</v>
      </c>
      <c r="B151" s="2">
        <v>45769</v>
      </c>
      <c r="C151" t="s">
        <v>17</v>
      </c>
      <c r="D151" t="s">
        <v>23</v>
      </c>
      <c r="E151" t="s">
        <v>24</v>
      </c>
      <c r="F151" t="s">
        <v>25</v>
      </c>
      <c r="G151" t="s">
        <v>26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58.6</v>
      </c>
    </row>
    <row r="152" spans="1:16">
      <c r="A152" t="s">
        <v>189</v>
      </c>
      <c r="B152" s="2">
        <v>45724</v>
      </c>
      <c r="C152" t="s">
        <v>17</v>
      </c>
      <c r="D152" t="s">
        <v>18</v>
      </c>
      <c r="E152" t="s">
        <v>19</v>
      </c>
      <c r="F152" t="s">
        <v>29</v>
      </c>
      <c r="G152" t="s">
        <v>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55.7</v>
      </c>
    </row>
    <row r="153" spans="1:16">
      <c r="A153" t="s">
        <v>190</v>
      </c>
      <c r="B153" s="2">
        <v>45726</v>
      </c>
      <c r="C153" t="s">
        <v>17</v>
      </c>
      <c r="D153" t="s">
        <v>28</v>
      </c>
      <c r="E153" t="s">
        <v>24</v>
      </c>
      <c r="F153" t="s">
        <v>25</v>
      </c>
      <c r="G153" t="s">
        <v>26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P153">
        <v>64.900000000000006</v>
      </c>
    </row>
    <row r="154" spans="1:16">
      <c r="A154" t="s">
        <v>191</v>
      </c>
      <c r="B154" s="2">
        <v>45795</v>
      </c>
      <c r="C154" t="s">
        <v>17</v>
      </c>
      <c r="D154" t="s">
        <v>18</v>
      </c>
      <c r="E154" t="s">
        <v>19</v>
      </c>
      <c r="F154" t="s">
        <v>29</v>
      </c>
      <c r="G154" t="s">
        <v>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72.3</v>
      </c>
    </row>
    <row r="155" spans="1:16">
      <c r="A155" t="s">
        <v>192</v>
      </c>
      <c r="B155" s="2">
        <v>45791</v>
      </c>
      <c r="C155" t="s">
        <v>17</v>
      </c>
      <c r="D155" t="s">
        <v>18</v>
      </c>
      <c r="E155" t="s">
        <v>24</v>
      </c>
      <c r="F155" t="s">
        <v>41</v>
      </c>
      <c r="G155" t="s">
        <v>21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42.1</v>
      </c>
    </row>
    <row r="156" spans="1:16">
      <c r="A156" t="s">
        <v>193</v>
      </c>
      <c r="B156" s="2">
        <v>45689</v>
      </c>
      <c r="C156" t="s">
        <v>17</v>
      </c>
      <c r="D156" t="s">
        <v>18</v>
      </c>
      <c r="E156" t="s">
        <v>24</v>
      </c>
      <c r="F156" t="s">
        <v>25</v>
      </c>
      <c r="G156" t="s">
        <v>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6">
      <c r="A157" t="s">
        <v>194</v>
      </c>
      <c r="B157" s="2">
        <v>45758</v>
      </c>
      <c r="C157" t="s">
        <v>17</v>
      </c>
      <c r="D157" t="s">
        <v>32</v>
      </c>
      <c r="E157" t="s">
        <v>24</v>
      </c>
      <c r="F157" t="s">
        <v>25</v>
      </c>
      <c r="G157" t="s">
        <v>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P157">
        <v>64.8</v>
      </c>
    </row>
    <row r="158" spans="1:16">
      <c r="A158" t="s">
        <v>195</v>
      </c>
      <c r="B158" s="2">
        <v>45702</v>
      </c>
      <c r="C158" t="s">
        <v>17</v>
      </c>
      <c r="D158" t="s">
        <v>28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72.099999999999994</v>
      </c>
    </row>
    <row r="159" spans="1:16">
      <c r="A159" t="s">
        <v>196</v>
      </c>
      <c r="B159" s="2">
        <v>45796</v>
      </c>
      <c r="C159" t="s">
        <v>17</v>
      </c>
      <c r="D159" t="s">
        <v>28</v>
      </c>
      <c r="E159" t="s">
        <v>24</v>
      </c>
      <c r="F159" t="s">
        <v>41</v>
      </c>
      <c r="G159" t="s">
        <v>26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50.6</v>
      </c>
    </row>
    <row r="160" spans="1:16">
      <c r="A160" t="s">
        <v>198</v>
      </c>
      <c r="B160" s="2">
        <v>45753</v>
      </c>
      <c r="C160" t="s">
        <v>17</v>
      </c>
      <c r="D160" t="s">
        <v>32</v>
      </c>
      <c r="E160" t="s">
        <v>24</v>
      </c>
      <c r="F160" t="s">
        <v>41</v>
      </c>
      <c r="G160" t="s">
        <v>26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59.7</v>
      </c>
    </row>
    <row r="161" spans="1:16">
      <c r="A161" t="s">
        <v>199</v>
      </c>
      <c r="B161" s="2">
        <v>45722</v>
      </c>
      <c r="C161" t="s">
        <v>17</v>
      </c>
      <c r="D161" t="s">
        <v>32</v>
      </c>
      <c r="E161" t="s">
        <v>24</v>
      </c>
      <c r="F161" t="s">
        <v>29</v>
      </c>
      <c r="G161" t="s">
        <v>26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</row>
    <row r="162" spans="1:16">
      <c r="A162" t="s">
        <v>200</v>
      </c>
      <c r="B162" s="2">
        <v>45726</v>
      </c>
      <c r="C162" t="s">
        <v>17</v>
      </c>
      <c r="D162" t="s">
        <v>23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54.5</v>
      </c>
    </row>
    <row r="163" spans="1:16">
      <c r="A163" t="s">
        <v>201</v>
      </c>
      <c r="B163" s="2">
        <v>45746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71.099999999999994</v>
      </c>
    </row>
    <row r="164" spans="1:16">
      <c r="A164" t="s">
        <v>202</v>
      </c>
      <c r="B164" s="2">
        <v>45806</v>
      </c>
      <c r="C164" t="s">
        <v>17</v>
      </c>
      <c r="D164" t="s">
        <v>28</v>
      </c>
      <c r="F164" t="s">
        <v>29</v>
      </c>
      <c r="G164" t="s">
        <v>26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P164">
        <v>44.4</v>
      </c>
    </row>
    <row r="165" spans="1:16">
      <c r="A165" t="s">
        <v>203</v>
      </c>
      <c r="B165" s="2">
        <v>45739</v>
      </c>
      <c r="C165" t="s">
        <v>17</v>
      </c>
      <c r="D165" t="s">
        <v>18</v>
      </c>
      <c r="E165" t="s">
        <v>24</v>
      </c>
      <c r="F165" t="s">
        <v>25</v>
      </c>
      <c r="G165" t="s">
        <v>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61.7</v>
      </c>
    </row>
    <row r="166" spans="1:16">
      <c r="A166" t="s">
        <v>204</v>
      </c>
      <c r="B166" s="2">
        <v>45706</v>
      </c>
      <c r="C166" t="s">
        <v>17</v>
      </c>
      <c r="D166" t="s">
        <v>18</v>
      </c>
      <c r="E166" t="s">
        <v>34</v>
      </c>
      <c r="F166" t="s">
        <v>25</v>
      </c>
      <c r="G166" t="s">
        <v>21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P166">
        <v>81.3</v>
      </c>
    </row>
    <row r="167" spans="1:16">
      <c r="A167" t="s">
        <v>205</v>
      </c>
      <c r="B167" s="2">
        <v>45683</v>
      </c>
      <c r="C167" t="s">
        <v>17</v>
      </c>
      <c r="D167" t="s">
        <v>18</v>
      </c>
      <c r="E167" t="s">
        <v>19</v>
      </c>
      <c r="F167" t="s">
        <v>20</v>
      </c>
      <c r="G167" t="s">
        <v>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P167">
        <v>28.7</v>
      </c>
    </row>
    <row r="168" spans="1:16">
      <c r="A168" t="s">
        <v>206</v>
      </c>
      <c r="B168" s="2">
        <v>45770</v>
      </c>
      <c r="C168" t="s">
        <v>17</v>
      </c>
      <c r="D168" t="s">
        <v>28</v>
      </c>
      <c r="E168" t="s">
        <v>24</v>
      </c>
      <c r="F168" t="s">
        <v>41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53</v>
      </c>
    </row>
    <row r="169" spans="1:16">
      <c r="A169" t="s">
        <v>207</v>
      </c>
      <c r="B169" s="2">
        <v>45732</v>
      </c>
      <c r="C169" t="s">
        <v>17</v>
      </c>
      <c r="D169" t="s">
        <v>32</v>
      </c>
      <c r="E169" t="s">
        <v>34</v>
      </c>
      <c r="F169" t="s">
        <v>39</v>
      </c>
      <c r="G169" t="s">
        <v>21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54.9</v>
      </c>
    </row>
    <row r="170" spans="1:16">
      <c r="A170" t="s">
        <v>208</v>
      </c>
      <c r="B170" s="2">
        <v>45776</v>
      </c>
      <c r="C170" t="s">
        <v>17</v>
      </c>
      <c r="D170" t="s">
        <v>23</v>
      </c>
      <c r="E170" t="s">
        <v>24</v>
      </c>
      <c r="F170" t="s">
        <v>25</v>
      </c>
      <c r="G170" t="s">
        <v>21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58.2</v>
      </c>
    </row>
    <row r="171" spans="1:16">
      <c r="A171" t="s">
        <v>209</v>
      </c>
      <c r="B171" s="2">
        <v>45753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80.599999999999994</v>
      </c>
    </row>
    <row r="172" spans="1:16">
      <c r="A172" t="s">
        <v>210</v>
      </c>
      <c r="B172" s="2">
        <v>45764</v>
      </c>
      <c r="C172" t="s">
        <v>17</v>
      </c>
      <c r="D172" t="s">
        <v>18</v>
      </c>
      <c r="E172" t="s">
        <v>19</v>
      </c>
      <c r="F172" t="s">
        <v>39</v>
      </c>
      <c r="G172" t="s">
        <v>30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38.4</v>
      </c>
    </row>
    <row r="173" spans="1:16">
      <c r="A173" t="s">
        <v>211</v>
      </c>
      <c r="B173" s="2">
        <v>45750</v>
      </c>
      <c r="C173" t="s">
        <v>17</v>
      </c>
      <c r="D173" t="s">
        <v>32</v>
      </c>
      <c r="E173" t="s">
        <v>24</v>
      </c>
      <c r="F173" t="s">
        <v>29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56.1</v>
      </c>
    </row>
    <row r="174" spans="1:16">
      <c r="A174" t="s">
        <v>212</v>
      </c>
      <c r="B174" s="2">
        <v>45772</v>
      </c>
      <c r="C174" t="s">
        <v>17</v>
      </c>
      <c r="D174" t="s">
        <v>23</v>
      </c>
      <c r="E174" t="s">
        <v>24</v>
      </c>
      <c r="F174" t="s">
        <v>29</v>
      </c>
      <c r="G174" t="s">
        <v>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62.6</v>
      </c>
    </row>
    <row r="175" spans="1:16">
      <c r="A175" t="s">
        <v>213</v>
      </c>
      <c r="B175" s="2">
        <v>45777</v>
      </c>
      <c r="C175" t="s">
        <v>17</v>
      </c>
      <c r="D175" t="s">
        <v>32</v>
      </c>
      <c r="E175" t="s">
        <v>24</v>
      </c>
      <c r="F175" t="s">
        <v>25</v>
      </c>
      <c r="G175" t="s">
        <v>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36.299999999999997</v>
      </c>
    </row>
    <row r="176" spans="1:16">
      <c r="A176" t="s">
        <v>214</v>
      </c>
      <c r="B176" s="2">
        <v>45728</v>
      </c>
      <c r="C176" t="s">
        <v>17</v>
      </c>
      <c r="D176" t="s">
        <v>32</v>
      </c>
      <c r="E176" t="s">
        <v>24</v>
      </c>
      <c r="F176" t="s">
        <v>29</v>
      </c>
      <c r="G176" t="s">
        <v>26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52.1</v>
      </c>
    </row>
    <row r="177" spans="1:16">
      <c r="A177" t="s">
        <v>215</v>
      </c>
      <c r="B177" s="2">
        <v>45781</v>
      </c>
      <c r="C177" t="s">
        <v>17</v>
      </c>
      <c r="D177" t="s">
        <v>32</v>
      </c>
      <c r="E177" t="s">
        <v>24</v>
      </c>
      <c r="F177" t="s">
        <v>25</v>
      </c>
      <c r="G177" t="s">
        <v>26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45.1</v>
      </c>
    </row>
    <row r="178" spans="1:16">
      <c r="A178" t="s">
        <v>216</v>
      </c>
      <c r="B178" s="2">
        <v>45695</v>
      </c>
      <c r="C178" t="s">
        <v>17</v>
      </c>
      <c r="D178" t="s">
        <v>32</v>
      </c>
      <c r="E178" t="s">
        <v>34</v>
      </c>
      <c r="F178" t="s">
        <v>29</v>
      </c>
      <c r="G178" t="s">
        <v>30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67.5</v>
      </c>
    </row>
    <row r="179" spans="1:16">
      <c r="A179" t="s">
        <v>217</v>
      </c>
      <c r="B179" s="2">
        <v>45775</v>
      </c>
      <c r="C179" t="s">
        <v>17</v>
      </c>
      <c r="D179" t="s">
        <v>28</v>
      </c>
      <c r="E179" t="s">
        <v>34</v>
      </c>
      <c r="F179" t="s">
        <v>20</v>
      </c>
      <c r="G179" t="s">
        <v>21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P179">
        <v>80</v>
      </c>
    </row>
    <row r="180" spans="1:16">
      <c r="A180" t="s">
        <v>218</v>
      </c>
      <c r="B180" s="2">
        <v>45792</v>
      </c>
      <c r="C180" t="s">
        <v>17</v>
      </c>
      <c r="D180" t="s">
        <v>28</v>
      </c>
      <c r="E180" t="s">
        <v>19</v>
      </c>
      <c r="F180" t="s">
        <v>39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56.4</v>
      </c>
    </row>
    <row r="181" spans="1:16">
      <c r="A181" t="s">
        <v>219</v>
      </c>
      <c r="B181" s="2">
        <v>45675</v>
      </c>
      <c r="C181" t="s">
        <v>17</v>
      </c>
      <c r="D181" t="s">
        <v>23</v>
      </c>
      <c r="E181" t="s">
        <v>24</v>
      </c>
      <c r="F181" t="s">
        <v>29</v>
      </c>
      <c r="G181" t="s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55.4</v>
      </c>
    </row>
    <row r="182" spans="1:16">
      <c r="A182" t="s">
        <v>220</v>
      </c>
      <c r="B182" s="2">
        <v>45703</v>
      </c>
      <c r="C182" t="s">
        <v>17</v>
      </c>
      <c r="D182" t="s">
        <v>32</v>
      </c>
      <c r="E182" t="s">
        <v>24</v>
      </c>
      <c r="F182" t="s">
        <v>41</v>
      </c>
      <c r="G182" t="s">
        <v>21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67.900000000000006</v>
      </c>
    </row>
    <row r="183" spans="1:16">
      <c r="A183" t="s">
        <v>221</v>
      </c>
      <c r="B183" s="2">
        <v>45706</v>
      </c>
      <c r="C183" t="s">
        <v>17</v>
      </c>
      <c r="D183" t="s">
        <v>18</v>
      </c>
      <c r="E183" t="s">
        <v>34</v>
      </c>
      <c r="F183" t="s">
        <v>20</v>
      </c>
      <c r="G183" t="s">
        <v>26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62.5</v>
      </c>
    </row>
    <row r="184" spans="1:16">
      <c r="A184" t="s">
        <v>222</v>
      </c>
      <c r="B184" s="2">
        <v>45687</v>
      </c>
      <c r="C184" t="s">
        <v>17</v>
      </c>
      <c r="D184" t="s">
        <v>32</v>
      </c>
      <c r="E184" t="s">
        <v>19</v>
      </c>
      <c r="F184" t="s">
        <v>20</v>
      </c>
      <c r="G184" t="s">
        <v>21</v>
      </c>
      <c r="H184">
        <v>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P184">
        <v>54.3</v>
      </c>
    </row>
    <row r="185" spans="1:16">
      <c r="A185" t="s">
        <v>223</v>
      </c>
      <c r="B185" s="2">
        <v>45697</v>
      </c>
      <c r="C185" t="s">
        <v>17</v>
      </c>
      <c r="D185" t="s">
        <v>32</v>
      </c>
      <c r="E185" t="s">
        <v>19</v>
      </c>
      <c r="F185" t="s">
        <v>25</v>
      </c>
      <c r="G185" t="s">
        <v>21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37.5</v>
      </c>
    </row>
    <row r="186" spans="1:16">
      <c r="A186" t="s">
        <v>224</v>
      </c>
      <c r="B186" s="2">
        <v>45732</v>
      </c>
      <c r="C186" t="s">
        <v>17</v>
      </c>
      <c r="D186" t="s">
        <v>23</v>
      </c>
      <c r="E186" t="s">
        <v>24</v>
      </c>
      <c r="F186" t="s">
        <v>29</v>
      </c>
      <c r="G186" t="s">
        <v>21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52.6</v>
      </c>
    </row>
    <row r="187" spans="1:16">
      <c r="A187" t="s">
        <v>225</v>
      </c>
      <c r="B187" s="2">
        <v>45796</v>
      </c>
      <c r="C187" t="s">
        <v>17</v>
      </c>
      <c r="D187" t="s">
        <v>18</v>
      </c>
      <c r="E187" t="s">
        <v>24</v>
      </c>
      <c r="F187" t="s">
        <v>29</v>
      </c>
      <c r="G187" t="s">
        <v>26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46.1</v>
      </c>
    </row>
    <row r="188" spans="1:16">
      <c r="A188" t="s">
        <v>226</v>
      </c>
      <c r="B188" s="2">
        <v>45793</v>
      </c>
      <c r="C188" t="s">
        <v>17</v>
      </c>
      <c r="D188" t="s">
        <v>32</v>
      </c>
      <c r="E188" t="s">
        <v>19</v>
      </c>
      <c r="F188" t="s">
        <v>25</v>
      </c>
      <c r="G188" t="s">
        <v>21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54.7</v>
      </c>
    </row>
    <row r="189" spans="1:16">
      <c r="A189" t="s">
        <v>227</v>
      </c>
      <c r="B189" s="2">
        <v>45772</v>
      </c>
      <c r="C189" t="s">
        <v>17</v>
      </c>
      <c r="D189" t="s">
        <v>23</v>
      </c>
      <c r="E189" t="s">
        <v>19</v>
      </c>
      <c r="F189" t="s">
        <v>39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74.2</v>
      </c>
    </row>
    <row r="190" spans="1:16">
      <c r="A190" t="s">
        <v>229</v>
      </c>
      <c r="B190" s="2">
        <v>45773</v>
      </c>
      <c r="C190" t="s">
        <v>17</v>
      </c>
      <c r="D190" t="s">
        <v>32</v>
      </c>
      <c r="E190" t="s">
        <v>24</v>
      </c>
      <c r="F190" t="s">
        <v>29</v>
      </c>
      <c r="G190" t="s">
        <v>21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65.900000000000006</v>
      </c>
    </row>
    <row r="191" spans="1:16">
      <c r="A191" t="s">
        <v>230</v>
      </c>
      <c r="B191" s="2">
        <v>45791</v>
      </c>
      <c r="C191" t="s">
        <v>17</v>
      </c>
      <c r="D191" t="s">
        <v>18</v>
      </c>
      <c r="E191" t="s">
        <v>24</v>
      </c>
      <c r="F191" t="s">
        <v>25</v>
      </c>
      <c r="G191" t="s">
        <v>21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64</v>
      </c>
    </row>
    <row r="192" spans="1:16">
      <c r="A192" t="s">
        <v>231</v>
      </c>
      <c r="B192" s="2">
        <v>45721</v>
      </c>
      <c r="C192" t="s">
        <v>17</v>
      </c>
      <c r="D192" t="s">
        <v>18</v>
      </c>
      <c r="E192" t="s">
        <v>24</v>
      </c>
      <c r="F192" t="s">
        <v>25</v>
      </c>
      <c r="G192" t="s">
        <v>30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57.2</v>
      </c>
    </row>
    <row r="193" spans="1:16">
      <c r="A193" t="s">
        <v>232</v>
      </c>
      <c r="B193" s="2">
        <v>45749</v>
      </c>
      <c r="C193" t="s">
        <v>17</v>
      </c>
      <c r="D193" t="s">
        <v>23</v>
      </c>
      <c r="E193" t="s">
        <v>19</v>
      </c>
      <c r="F193" t="s">
        <v>25</v>
      </c>
      <c r="G193" t="s">
        <v>26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80.5</v>
      </c>
    </row>
    <row r="194" spans="1:16">
      <c r="A194" t="s">
        <v>233</v>
      </c>
      <c r="B194" s="2">
        <v>45791</v>
      </c>
      <c r="C194" t="s">
        <v>17</v>
      </c>
      <c r="D194" t="s">
        <v>32</v>
      </c>
      <c r="E194" t="s">
        <v>34</v>
      </c>
      <c r="F194" t="s">
        <v>25</v>
      </c>
      <c r="G194" t="s">
        <v>26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53.9</v>
      </c>
    </row>
    <row r="195" spans="1:16">
      <c r="A195" t="s">
        <v>234</v>
      </c>
      <c r="B195" s="2">
        <v>45798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77.5</v>
      </c>
    </row>
    <row r="196" spans="1:16">
      <c r="A196" t="s">
        <v>235</v>
      </c>
      <c r="B196" s="2">
        <v>45684</v>
      </c>
      <c r="C196" t="s">
        <v>17</v>
      </c>
      <c r="D196" t="s">
        <v>28</v>
      </c>
      <c r="E196" t="s">
        <v>24</v>
      </c>
      <c r="F196" t="s">
        <v>41</v>
      </c>
      <c r="G196" t="s">
        <v>21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84.2</v>
      </c>
    </row>
    <row r="197" spans="1:16">
      <c r="A197" t="s">
        <v>236</v>
      </c>
      <c r="B197" s="2">
        <v>45799</v>
      </c>
      <c r="C197" t="s">
        <v>17</v>
      </c>
      <c r="D197" t="s">
        <v>23</v>
      </c>
      <c r="E197" t="s">
        <v>19</v>
      </c>
      <c r="F197" t="s">
        <v>25</v>
      </c>
      <c r="G197" t="s">
        <v>26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54.9</v>
      </c>
    </row>
    <row r="198" spans="1:16">
      <c r="A198" t="s">
        <v>237</v>
      </c>
      <c r="B198" s="2">
        <v>45796</v>
      </c>
      <c r="C198" t="s">
        <v>17</v>
      </c>
      <c r="D198" t="s">
        <v>32</v>
      </c>
      <c r="E198" t="s">
        <v>24</v>
      </c>
      <c r="F198" t="s">
        <v>29</v>
      </c>
      <c r="G198" t="s">
        <v>26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69.3</v>
      </c>
    </row>
    <row r="199" spans="1:16">
      <c r="A199" t="s">
        <v>238</v>
      </c>
      <c r="B199" s="2">
        <v>45671</v>
      </c>
      <c r="C199" t="s">
        <v>17</v>
      </c>
      <c r="D199" t="s">
        <v>32</v>
      </c>
      <c r="E199" t="s">
        <v>19</v>
      </c>
      <c r="F199" t="s">
        <v>29</v>
      </c>
      <c r="G199" t="s">
        <v>26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P199">
        <v>42.3</v>
      </c>
    </row>
    <row r="200" spans="1:16">
      <c r="A200" t="s">
        <v>239</v>
      </c>
      <c r="B200" s="2">
        <v>45678</v>
      </c>
      <c r="C200" t="s">
        <v>17</v>
      </c>
      <c r="D200" t="s">
        <v>18</v>
      </c>
      <c r="E200" t="s">
        <v>19</v>
      </c>
      <c r="F200" t="s">
        <v>39</v>
      </c>
      <c r="G200" t="s">
        <v>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P200">
        <v>69.599999999999994</v>
      </c>
    </row>
    <row r="201" spans="1:16">
      <c r="A201" t="s">
        <v>240</v>
      </c>
      <c r="B201" s="2">
        <v>45793</v>
      </c>
      <c r="C201" t="s">
        <v>17</v>
      </c>
      <c r="D201" t="s">
        <v>28</v>
      </c>
      <c r="E201" t="s">
        <v>24</v>
      </c>
      <c r="F201" t="s">
        <v>25</v>
      </c>
      <c r="G201" t="s">
        <v>26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40.700000000000003</v>
      </c>
    </row>
    <row r="202" spans="1:16">
      <c r="A202" t="s">
        <v>241</v>
      </c>
      <c r="B202" s="2">
        <v>45690</v>
      </c>
      <c r="C202" t="s">
        <v>17</v>
      </c>
      <c r="D202" t="s">
        <v>18</v>
      </c>
      <c r="E202" t="s">
        <v>24</v>
      </c>
      <c r="F202" t="s">
        <v>20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54</v>
      </c>
    </row>
    <row r="203" spans="1:16">
      <c r="A203" t="s">
        <v>243</v>
      </c>
      <c r="B203" s="2">
        <v>45681</v>
      </c>
      <c r="C203" t="s">
        <v>17</v>
      </c>
      <c r="D203" t="s">
        <v>28</v>
      </c>
      <c r="E203" t="s">
        <v>24</v>
      </c>
      <c r="F203" t="s">
        <v>25</v>
      </c>
      <c r="G203" t="s">
        <v>26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64.2</v>
      </c>
    </row>
    <row r="204" spans="1:16">
      <c r="A204" t="s">
        <v>244</v>
      </c>
      <c r="B204" s="2">
        <v>45759</v>
      </c>
      <c r="C204" t="s">
        <v>17</v>
      </c>
      <c r="D204" t="s">
        <v>18</v>
      </c>
      <c r="E204" t="s">
        <v>19</v>
      </c>
      <c r="F204" t="s">
        <v>25</v>
      </c>
      <c r="G204" t="s">
        <v>26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75.2</v>
      </c>
    </row>
    <row r="205" spans="1:16">
      <c r="A205" t="s">
        <v>245</v>
      </c>
      <c r="B205" s="2">
        <v>45706</v>
      </c>
      <c r="C205" t="s">
        <v>17</v>
      </c>
      <c r="D205" t="s">
        <v>28</v>
      </c>
      <c r="E205" t="s">
        <v>19</v>
      </c>
      <c r="F205" t="s">
        <v>29</v>
      </c>
      <c r="G205" t="s">
        <v>26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60.9</v>
      </c>
    </row>
    <row r="206" spans="1:16">
      <c r="A206" t="s">
        <v>246</v>
      </c>
      <c r="B206" s="2">
        <v>45805</v>
      </c>
      <c r="C206" t="s">
        <v>17</v>
      </c>
      <c r="D206" t="s">
        <v>32</v>
      </c>
      <c r="E206" t="s">
        <v>24</v>
      </c>
      <c r="F206" t="s">
        <v>20</v>
      </c>
      <c r="G206" t="s">
        <v>21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P206">
        <v>62.1</v>
      </c>
    </row>
    <row r="207" spans="1:16">
      <c r="A207" t="s">
        <v>247</v>
      </c>
      <c r="B207" s="2">
        <v>45765</v>
      </c>
      <c r="C207" t="s">
        <v>17</v>
      </c>
      <c r="D207" t="s">
        <v>32</v>
      </c>
      <c r="E207" t="s">
        <v>24</v>
      </c>
      <c r="F207" t="s">
        <v>41</v>
      </c>
      <c r="G207" t="s">
        <v>21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45.4</v>
      </c>
    </row>
    <row r="208" spans="1:16">
      <c r="A208" t="s">
        <v>248</v>
      </c>
      <c r="B208" s="2">
        <v>45743</v>
      </c>
      <c r="C208" t="s">
        <v>17</v>
      </c>
      <c r="D208" t="s">
        <v>18</v>
      </c>
      <c r="E208" t="s">
        <v>24</v>
      </c>
      <c r="F208" t="s">
        <v>29</v>
      </c>
      <c r="G208" t="s">
        <v>21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53.3</v>
      </c>
    </row>
    <row r="209" spans="1:16">
      <c r="A209" t="s">
        <v>249</v>
      </c>
      <c r="B209" s="2">
        <v>45713</v>
      </c>
      <c r="C209" t="s">
        <v>17</v>
      </c>
      <c r="D209" t="s">
        <v>18</v>
      </c>
      <c r="E209" t="s">
        <v>34</v>
      </c>
      <c r="F209" t="s">
        <v>41</v>
      </c>
      <c r="G209" t="s">
        <v>26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6">
      <c r="A210" t="s">
        <v>250</v>
      </c>
      <c r="B210" s="2">
        <v>45707</v>
      </c>
      <c r="C210" t="s">
        <v>17</v>
      </c>
      <c r="D210" t="s">
        <v>28</v>
      </c>
      <c r="E210" t="s">
        <v>24</v>
      </c>
      <c r="F210" t="s">
        <v>29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P210">
        <v>38.200000000000003</v>
      </c>
    </row>
    <row r="211" spans="1:16">
      <c r="A211" t="s">
        <v>251</v>
      </c>
      <c r="B211" s="2">
        <v>45758</v>
      </c>
      <c r="C211" t="s">
        <v>17</v>
      </c>
      <c r="D211" t="s">
        <v>23</v>
      </c>
      <c r="E211" t="s">
        <v>24</v>
      </c>
      <c r="F211" t="s">
        <v>29</v>
      </c>
      <c r="G211" t="s">
        <v>26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0</v>
      </c>
      <c r="P211">
        <v>59</v>
      </c>
    </row>
    <row r="212" spans="1:16">
      <c r="A212" t="s">
        <v>252</v>
      </c>
      <c r="B212" s="2">
        <v>45679</v>
      </c>
      <c r="C212" t="s">
        <v>17</v>
      </c>
      <c r="D212" t="s">
        <v>28</v>
      </c>
      <c r="E212" t="s">
        <v>34</v>
      </c>
      <c r="F212" t="s">
        <v>39</v>
      </c>
      <c r="G212" t="s">
        <v>30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P212">
        <v>80.599999999999994</v>
      </c>
    </row>
    <row r="213" spans="1:16">
      <c r="A213" t="s">
        <v>253</v>
      </c>
      <c r="B213" s="2">
        <v>45669</v>
      </c>
      <c r="C213" t="s">
        <v>17</v>
      </c>
      <c r="D213" t="s">
        <v>32</v>
      </c>
      <c r="E213" t="s">
        <v>24</v>
      </c>
      <c r="F213" t="s">
        <v>41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67</v>
      </c>
    </row>
    <row r="214" spans="1:16">
      <c r="A214" t="s">
        <v>254</v>
      </c>
      <c r="B214" s="2">
        <v>45705</v>
      </c>
      <c r="C214" t="s">
        <v>17</v>
      </c>
      <c r="D214" t="s">
        <v>23</v>
      </c>
      <c r="E214" t="s">
        <v>24</v>
      </c>
      <c r="F214" t="s">
        <v>20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P214">
        <v>72.099999999999994</v>
      </c>
    </row>
    <row r="215" spans="1:16">
      <c r="A215" t="s">
        <v>255</v>
      </c>
      <c r="B215" s="2">
        <v>45758</v>
      </c>
      <c r="C215" t="s">
        <v>17</v>
      </c>
      <c r="D215" t="s">
        <v>23</v>
      </c>
      <c r="E215" t="s">
        <v>19</v>
      </c>
      <c r="F215" t="s">
        <v>25</v>
      </c>
      <c r="G215" t="s">
        <v>26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74.099999999999994</v>
      </c>
    </row>
    <row r="216" spans="1:16">
      <c r="A216" t="s">
        <v>256</v>
      </c>
      <c r="B216" s="2">
        <v>45802</v>
      </c>
      <c r="C216" t="s">
        <v>17</v>
      </c>
      <c r="D216" t="s">
        <v>32</v>
      </c>
      <c r="E216" t="s">
        <v>24</v>
      </c>
      <c r="F216" t="s">
        <v>39</v>
      </c>
      <c r="G216" t="s">
        <v>30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84.8</v>
      </c>
    </row>
    <row r="217" spans="1:16">
      <c r="A217" t="s">
        <v>257</v>
      </c>
      <c r="B217" s="2">
        <v>45728</v>
      </c>
      <c r="C217" t="s">
        <v>17</v>
      </c>
      <c r="D217" t="s">
        <v>32</v>
      </c>
      <c r="E217" t="s">
        <v>24</v>
      </c>
      <c r="F217" t="s">
        <v>25</v>
      </c>
      <c r="G217" t="s">
        <v>21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33</v>
      </c>
    </row>
    <row r="218" spans="1:16">
      <c r="A218" t="s">
        <v>258</v>
      </c>
      <c r="B218" s="2">
        <v>45767</v>
      </c>
      <c r="C218" t="s">
        <v>17</v>
      </c>
      <c r="D218" t="s">
        <v>18</v>
      </c>
      <c r="E218" t="s">
        <v>34</v>
      </c>
      <c r="F218" t="s">
        <v>20</v>
      </c>
      <c r="G218" t="s">
        <v>26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52.5</v>
      </c>
    </row>
    <row r="219" spans="1:16">
      <c r="A219" t="s">
        <v>259</v>
      </c>
      <c r="B219" s="2">
        <v>45711</v>
      </c>
      <c r="C219" t="s">
        <v>17</v>
      </c>
      <c r="D219" t="s">
        <v>18</v>
      </c>
      <c r="E219" t="s">
        <v>34</v>
      </c>
      <c r="F219" t="s">
        <v>25</v>
      </c>
      <c r="G219" t="s">
        <v>26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66.900000000000006</v>
      </c>
    </row>
    <row r="220" spans="1:16">
      <c r="A220" t="s">
        <v>260</v>
      </c>
      <c r="B220" s="2">
        <v>45681</v>
      </c>
      <c r="C220" t="s">
        <v>17</v>
      </c>
      <c r="D220" t="s">
        <v>18</v>
      </c>
      <c r="E220" t="s">
        <v>24</v>
      </c>
      <c r="F220" t="s">
        <v>25</v>
      </c>
      <c r="G220" t="s">
        <v>21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P220">
        <v>32.700000000000003</v>
      </c>
    </row>
    <row r="221" spans="1:16">
      <c r="A221" t="s">
        <v>261</v>
      </c>
      <c r="B221" s="2">
        <v>45673</v>
      </c>
      <c r="C221" t="s">
        <v>17</v>
      </c>
      <c r="D221" t="s">
        <v>23</v>
      </c>
      <c r="E221" t="s">
        <v>24</v>
      </c>
      <c r="F221" t="s">
        <v>25</v>
      </c>
      <c r="G221" t="s">
        <v>30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P221">
        <v>70.599999999999994</v>
      </c>
    </row>
    <row r="222" spans="1:16">
      <c r="A222" t="s">
        <v>262</v>
      </c>
      <c r="B222" s="2">
        <v>45705</v>
      </c>
      <c r="C222" t="s">
        <v>17</v>
      </c>
      <c r="D222" t="s">
        <v>18</v>
      </c>
      <c r="E222" t="s">
        <v>24</v>
      </c>
      <c r="F222" t="s">
        <v>41</v>
      </c>
      <c r="G222" t="s">
        <v>26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69.400000000000006</v>
      </c>
    </row>
    <row r="223" spans="1:16">
      <c r="A223" t="s">
        <v>263</v>
      </c>
      <c r="B223" s="2">
        <v>45781</v>
      </c>
      <c r="C223" t="s">
        <v>17</v>
      </c>
      <c r="D223" t="s">
        <v>18</v>
      </c>
      <c r="E223" t="s">
        <v>19</v>
      </c>
      <c r="F223" t="s">
        <v>25</v>
      </c>
      <c r="G223" t="s">
        <v>21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56.1</v>
      </c>
    </row>
    <row r="224" spans="1:16">
      <c r="A224" t="s">
        <v>264</v>
      </c>
      <c r="B224" s="2">
        <v>45669</v>
      </c>
      <c r="C224" t="s">
        <v>17</v>
      </c>
      <c r="D224" t="s">
        <v>23</v>
      </c>
      <c r="E224" t="s">
        <v>24</v>
      </c>
      <c r="F224" t="s">
        <v>25</v>
      </c>
      <c r="G224" t="s">
        <v>21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55.8</v>
      </c>
    </row>
    <row r="225" spans="1:16">
      <c r="A225" t="s">
        <v>265</v>
      </c>
      <c r="B225" s="2">
        <v>45775</v>
      </c>
      <c r="C225" t="s">
        <v>17</v>
      </c>
      <c r="D225" t="s">
        <v>18</v>
      </c>
      <c r="E225" t="s">
        <v>34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49.3</v>
      </c>
    </row>
    <row r="226" spans="1:16">
      <c r="A226" t="s">
        <v>266</v>
      </c>
      <c r="B226" s="2">
        <v>45714</v>
      </c>
      <c r="C226" t="s">
        <v>17</v>
      </c>
      <c r="D226" t="s">
        <v>18</v>
      </c>
      <c r="E226" t="s">
        <v>24</v>
      </c>
      <c r="F226" t="s">
        <v>25</v>
      </c>
      <c r="G226" t="s">
        <v>26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71.8</v>
      </c>
    </row>
    <row r="227" spans="1:16">
      <c r="A227" t="s">
        <v>267</v>
      </c>
      <c r="B227" s="2">
        <v>45734</v>
      </c>
      <c r="C227" t="s">
        <v>17</v>
      </c>
      <c r="D227" t="s">
        <v>23</v>
      </c>
      <c r="E227" t="s">
        <v>24</v>
      </c>
      <c r="F227" t="s">
        <v>41</v>
      </c>
      <c r="G227" t="s">
        <v>26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P227">
        <v>39.700000000000003</v>
      </c>
    </row>
    <row r="228" spans="1:16">
      <c r="A228" t="s">
        <v>268</v>
      </c>
      <c r="B228" s="2">
        <v>45717</v>
      </c>
      <c r="C228" t="s">
        <v>17</v>
      </c>
      <c r="D228" t="s">
        <v>32</v>
      </c>
      <c r="E228" t="s">
        <v>19</v>
      </c>
      <c r="F228" t="s">
        <v>25</v>
      </c>
      <c r="G228" t="s">
        <v>30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45.4</v>
      </c>
    </row>
    <row r="229" spans="1:16">
      <c r="A229" t="s">
        <v>269</v>
      </c>
      <c r="B229" s="2">
        <v>45752</v>
      </c>
      <c r="C229" t="s">
        <v>17</v>
      </c>
      <c r="D229" t="s">
        <v>18</v>
      </c>
      <c r="E229" t="s">
        <v>19</v>
      </c>
      <c r="F229" t="s">
        <v>41</v>
      </c>
      <c r="G229" t="s">
        <v>30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69.900000000000006</v>
      </c>
    </row>
    <row r="230" spans="1:16">
      <c r="A230" t="s">
        <v>270</v>
      </c>
      <c r="B230" s="2">
        <v>45728</v>
      </c>
      <c r="C230" t="s">
        <v>17</v>
      </c>
      <c r="D230" t="s">
        <v>18</v>
      </c>
      <c r="E230" t="s">
        <v>19</v>
      </c>
      <c r="F230" t="s">
        <v>41</v>
      </c>
      <c r="G230" t="s">
        <v>26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P230">
        <v>56.1</v>
      </c>
    </row>
    <row r="231" spans="1:16">
      <c r="A231" t="s">
        <v>271</v>
      </c>
      <c r="B231" s="2">
        <v>45731</v>
      </c>
      <c r="C231" t="s">
        <v>17</v>
      </c>
      <c r="D231" t="s">
        <v>23</v>
      </c>
      <c r="E231" t="s">
        <v>24</v>
      </c>
      <c r="F231" t="s">
        <v>39</v>
      </c>
      <c r="G231" t="s">
        <v>21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45.9</v>
      </c>
    </row>
    <row r="232" spans="1:16">
      <c r="A232" t="s">
        <v>272</v>
      </c>
      <c r="B232" s="2">
        <v>45711</v>
      </c>
      <c r="C232" t="s">
        <v>17</v>
      </c>
      <c r="D232" t="s">
        <v>23</v>
      </c>
      <c r="E232" t="s">
        <v>24</v>
      </c>
      <c r="F232" t="s">
        <v>20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65.8</v>
      </c>
    </row>
    <row r="233" spans="1:16">
      <c r="A233" t="s">
        <v>273</v>
      </c>
      <c r="B233" s="2">
        <v>45769</v>
      </c>
      <c r="C233" t="s">
        <v>17</v>
      </c>
      <c r="D233" t="s">
        <v>18</v>
      </c>
      <c r="E233" t="s">
        <v>24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48.2</v>
      </c>
    </row>
    <row r="234" spans="1:16">
      <c r="A234" t="s">
        <v>274</v>
      </c>
      <c r="B234" s="2">
        <v>45666</v>
      </c>
      <c r="C234" t="s">
        <v>17</v>
      </c>
      <c r="D234" t="s">
        <v>28</v>
      </c>
      <c r="E234" t="s">
        <v>24</v>
      </c>
      <c r="F234" t="s">
        <v>25</v>
      </c>
      <c r="G234" t="s">
        <v>21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P234">
        <v>81.099999999999994</v>
      </c>
    </row>
    <row r="235" spans="1:16">
      <c r="A235" t="s">
        <v>275</v>
      </c>
      <c r="B235" s="2">
        <v>45721</v>
      </c>
      <c r="C235" t="s">
        <v>17</v>
      </c>
      <c r="D235" t="s">
        <v>28</v>
      </c>
      <c r="E235" t="s">
        <v>34</v>
      </c>
      <c r="F235" t="s">
        <v>41</v>
      </c>
      <c r="G235" t="s">
        <v>30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53.2</v>
      </c>
    </row>
    <row r="236" spans="1:16">
      <c r="A236" t="s">
        <v>276</v>
      </c>
      <c r="B236" s="2">
        <v>45685</v>
      </c>
      <c r="C236" t="s">
        <v>17</v>
      </c>
      <c r="D236" t="s">
        <v>18</v>
      </c>
      <c r="E236" t="s">
        <v>24</v>
      </c>
      <c r="F236" t="s">
        <v>41</v>
      </c>
      <c r="G236" t="s">
        <v>26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P236">
        <v>57.7</v>
      </c>
    </row>
    <row r="237" spans="1:16">
      <c r="A237" t="s">
        <v>277</v>
      </c>
      <c r="B237" s="2">
        <v>45678</v>
      </c>
      <c r="C237" t="s">
        <v>17</v>
      </c>
      <c r="D237" t="s">
        <v>23</v>
      </c>
      <c r="E237" t="s">
        <v>24</v>
      </c>
      <c r="F237" t="s">
        <v>29</v>
      </c>
      <c r="G237" t="s">
        <v>30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78.900000000000006</v>
      </c>
    </row>
    <row r="238" spans="1:16">
      <c r="A238" t="s">
        <v>278</v>
      </c>
      <c r="B238" s="2">
        <v>45730</v>
      </c>
      <c r="C238" t="s">
        <v>17</v>
      </c>
      <c r="D238" t="s">
        <v>32</v>
      </c>
      <c r="E238" t="s">
        <v>24</v>
      </c>
      <c r="F238" t="s">
        <v>39</v>
      </c>
      <c r="G238" t="s">
        <v>21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55.7</v>
      </c>
    </row>
    <row r="239" spans="1:16">
      <c r="A239" t="s">
        <v>279</v>
      </c>
      <c r="B239" s="2">
        <v>45691</v>
      </c>
      <c r="C239" t="s">
        <v>17</v>
      </c>
      <c r="D239" t="s">
        <v>23</v>
      </c>
      <c r="E239" t="s">
        <v>24</v>
      </c>
      <c r="F239" t="s">
        <v>29</v>
      </c>
      <c r="G239" t="s">
        <v>26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52.3</v>
      </c>
    </row>
    <row r="240" spans="1:16">
      <c r="A240" t="s">
        <v>280</v>
      </c>
      <c r="B240" s="2">
        <v>45799</v>
      </c>
      <c r="C240" t="s">
        <v>17</v>
      </c>
      <c r="D240" t="s">
        <v>18</v>
      </c>
      <c r="E240" t="s">
        <v>24</v>
      </c>
      <c r="F240" t="s">
        <v>41</v>
      </c>
      <c r="G240" t="s">
        <v>26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51.5</v>
      </c>
    </row>
    <row r="241" spans="1:16">
      <c r="A241" t="s">
        <v>281</v>
      </c>
      <c r="B241" s="2">
        <v>45772</v>
      </c>
      <c r="C241" t="s">
        <v>17</v>
      </c>
      <c r="D241" t="s">
        <v>18</v>
      </c>
      <c r="E241" t="s">
        <v>19</v>
      </c>
      <c r="F241" t="s">
        <v>20</v>
      </c>
      <c r="G241" t="s">
        <v>26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70.8</v>
      </c>
    </row>
    <row r="242" spans="1:16">
      <c r="A242" t="s">
        <v>283</v>
      </c>
      <c r="B242" s="2">
        <v>45800</v>
      </c>
      <c r="C242" t="s">
        <v>17</v>
      </c>
      <c r="D242" t="s">
        <v>23</v>
      </c>
      <c r="E242" t="s">
        <v>24</v>
      </c>
      <c r="F242" t="s">
        <v>25</v>
      </c>
      <c r="G242" t="s">
        <v>26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61.6</v>
      </c>
    </row>
    <row r="243" spans="1:16">
      <c r="A243" t="s">
        <v>284</v>
      </c>
      <c r="B243" s="2">
        <v>45702</v>
      </c>
      <c r="C243" t="s">
        <v>17</v>
      </c>
      <c r="D243" t="s">
        <v>28</v>
      </c>
      <c r="E243" t="s">
        <v>19</v>
      </c>
      <c r="F243" t="s">
        <v>25</v>
      </c>
      <c r="G243" t="s">
        <v>26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P243">
        <v>46.8</v>
      </c>
    </row>
    <row r="244" spans="1:16">
      <c r="A244" t="s">
        <v>285</v>
      </c>
      <c r="B244" s="2">
        <v>45721</v>
      </c>
      <c r="C244" t="s">
        <v>17</v>
      </c>
      <c r="D244" t="s">
        <v>18</v>
      </c>
      <c r="E244" t="s">
        <v>24</v>
      </c>
      <c r="F244" t="s">
        <v>29</v>
      </c>
      <c r="G244" t="s">
        <v>30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P244">
        <v>58.5</v>
      </c>
    </row>
    <row r="245" spans="1:16">
      <c r="A245" t="s">
        <v>286</v>
      </c>
      <c r="B245" s="2">
        <v>45804</v>
      </c>
      <c r="C245" t="s">
        <v>17</v>
      </c>
      <c r="D245" t="s">
        <v>18</v>
      </c>
      <c r="E245" t="s">
        <v>24</v>
      </c>
      <c r="F245" t="s">
        <v>29</v>
      </c>
      <c r="G245" t="s">
        <v>21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70.900000000000006</v>
      </c>
    </row>
    <row r="246" spans="1:16">
      <c r="A246" t="s">
        <v>287</v>
      </c>
      <c r="B246" s="2">
        <v>45664</v>
      </c>
      <c r="C246" t="s">
        <v>17</v>
      </c>
      <c r="D246" t="s">
        <v>32</v>
      </c>
      <c r="E246" t="s">
        <v>24</v>
      </c>
      <c r="F246" t="s">
        <v>29</v>
      </c>
      <c r="G246" t="s">
        <v>26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48.4</v>
      </c>
    </row>
    <row r="247" spans="1:16">
      <c r="A247" t="s">
        <v>288</v>
      </c>
      <c r="B247" s="2">
        <v>45768</v>
      </c>
      <c r="C247" t="s">
        <v>17</v>
      </c>
      <c r="D247" t="s">
        <v>18</v>
      </c>
      <c r="E247" t="s">
        <v>24</v>
      </c>
      <c r="F247" t="s">
        <v>20</v>
      </c>
      <c r="G247" t="s">
        <v>26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58</v>
      </c>
    </row>
    <row r="248" spans="1:16">
      <c r="A248" t="s">
        <v>289</v>
      </c>
      <c r="B248" s="2">
        <v>45790</v>
      </c>
      <c r="C248" t="s">
        <v>17</v>
      </c>
      <c r="D248" t="s">
        <v>18</v>
      </c>
      <c r="E248" t="s">
        <v>24</v>
      </c>
      <c r="F248" t="s">
        <v>29</v>
      </c>
      <c r="G248" t="s">
        <v>26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61.6</v>
      </c>
    </row>
    <row r="249" spans="1:16">
      <c r="A249" t="s">
        <v>290</v>
      </c>
      <c r="B249" s="2">
        <v>45685</v>
      </c>
      <c r="C249" t="s">
        <v>17</v>
      </c>
      <c r="D249" t="s">
        <v>28</v>
      </c>
      <c r="E249" t="s">
        <v>19</v>
      </c>
      <c r="F249" t="s">
        <v>25</v>
      </c>
      <c r="G249" t="s">
        <v>26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43.2</v>
      </c>
    </row>
    <row r="250" spans="1:16">
      <c r="A250" t="s">
        <v>291</v>
      </c>
      <c r="B250" s="2">
        <v>45732</v>
      </c>
      <c r="C250" t="s">
        <v>17</v>
      </c>
      <c r="D250" t="s">
        <v>28</v>
      </c>
      <c r="E250" t="s">
        <v>19</v>
      </c>
      <c r="F250" t="s">
        <v>29</v>
      </c>
      <c r="G250" t="s">
        <v>21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P250">
        <v>53.3</v>
      </c>
    </row>
    <row r="251" spans="1:16">
      <c r="A251" t="s">
        <v>292</v>
      </c>
      <c r="B251" s="2">
        <v>45757</v>
      </c>
      <c r="C251" t="s">
        <v>17</v>
      </c>
      <c r="D251" t="s">
        <v>28</v>
      </c>
      <c r="E251" t="s">
        <v>19</v>
      </c>
      <c r="F251" t="s">
        <v>41</v>
      </c>
      <c r="G251" t="s">
        <v>21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33.9</v>
      </c>
    </row>
    <row r="252" spans="1:16">
      <c r="A252" t="s">
        <v>293</v>
      </c>
      <c r="B252" s="2">
        <v>45731</v>
      </c>
      <c r="C252" t="s">
        <v>17</v>
      </c>
      <c r="D252" t="s">
        <v>28</v>
      </c>
      <c r="E252" t="s">
        <v>19</v>
      </c>
      <c r="F252" t="s">
        <v>39</v>
      </c>
      <c r="G252" t="s">
        <v>26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P252">
        <v>35.4</v>
      </c>
    </row>
    <row r="253" spans="1:16">
      <c r="A253" t="s">
        <v>294</v>
      </c>
      <c r="B253" s="2">
        <v>45754</v>
      </c>
      <c r="C253" t="s">
        <v>17</v>
      </c>
      <c r="D253" t="s">
        <v>23</v>
      </c>
      <c r="E253" t="s">
        <v>19</v>
      </c>
      <c r="F253" t="s">
        <v>25</v>
      </c>
      <c r="G253" t="s">
        <v>21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45</v>
      </c>
    </row>
    <row r="254" spans="1:16">
      <c r="A254" t="s">
        <v>295</v>
      </c>
      <c r="B254" s="2">
        <v>45700</v>
      </c>
      <c r="C254" t="s">
        <v>17</v>
      </c>
      <c r="D254" t="s">
        <v>32</v>
      </c>
      <c r="E254" t="s">
        <v>24</v>
      </c>
      <c r="F254" t="s">
        <v>25</v>
      </c>
      <c r="G254" t="s">
        <v>26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86.5</v>
      </c>
    </row>
    <row r="255" spans="1:16">
      <c r="A255" t="s">
        <v>296</v>
      </c>
      <c r="B255" s="2">
        <v>45782</v>
      </c>
      <c r="C255" t="s">
        <v>17</v>
      </c>
      <c r="D255" t="s">
        <v>23</v>
      </c>
      <c r="E255" t="s">
        <v>24</v>
      </c>
      <c r="F255" t="s">
        <v>41</v>
      </c>
      <c r="G255" t="s">
        <v>26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58.1</v>
      </c>
    </row>
    <row r="256" spans="1:16">
      <c r="A256" t="s">
        <v>297</v>
      </c>
      <c r="B256" s="2">
        <v>45727</v>
      </c>
      <c r="C256" t="s">
        <v>17</v>
      </c>
      <c r="D256" t="s">
        <v>23</v>
      </c>
      <c r="E256" t="s">
        <v>24</v>
      </c>
      <c r="F256" t="s">
        <v>39</v>
      </c>
      <c r="G256" t="s">
        <v>26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36.1</v>
      </c>
    </row>
    <row r="257" spans="1:16">
      <c r="A257" t="s">
        <v>298</v>
      </c>
      <c r="B257" s="2">
        <v>45698</v>
      </c>
      <c r="C257" t="s">
        <v>17</v>
      </c>
      <c r="D257" t="s">
        <v>28</v>
      </c>
      <c r="E257" t="s">
        <v>24</v>
      </c>
      <c r="F257" t="s">
        <v>41</v>
      </c>
      <c r="G257" t="s">
        <v>26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62.8</v>
      </c>
    </row>
    <row r="258" spans="1:16">
      <c r="A258" t="s">
        <v>299</v>
      </c>
      <c r="B258" s="2">
        <v>45753</v>
      </c>
      <c r="C258" t="s">
        <v>17</v>
      </c>
      <c r="D258" t="s">
        <v>32</v>
      </c>
      <c r="E258" t="s">
        <v>24</v>
      </c>
      <c r="F258" t="s">
        <v>25</v>
      </c>
      <c r="G258" t="s">
        <v>26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54.2</v>
      </c>
    </row>
    <row r="259" spans="1:16">
      <c r="A259" t="s">
        <v>300</v>
      </c>
      <c r="B259" s="2">
        <v>45663</v>
      </c>
      <c r="C259" t="s">
        <v>17</v>
      </c>
      <c r="D259" t="s">
        <v>28</v>
      </c>
      <c r="E259" t="s">
        <v>24</v>
      </c>
      <c r="F259" t="s">
        <v>39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50</v>
      </c>
    </row>
    <row r="260" spans="1:16">
      <c r="A260" t="s">
        <v>301</v>
      </c>
      <c r="B260" s="2">
        <v>45741</v>
      </c>
      <c r="C260" t="s">
        <v>17</v>
      </c>
      <c r="D260" t="s">
        <v>28</v>
      </c>
      <c r="E260" t="s">
        <v>34</v>
      </c>
      <c r="F260" t="s">
        <v>29</v>
      </c>
      <c r="G260" t="s">
        <v>21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62</v>
      </c>
    </row>
    <row r="261" spans="1:16">
      <c r="A261" t="s">
        <v>302</v>
      </c>
      <c r="B261" s="2">
        <v>45701</v>
      </c>
      <c r="C261" t="s">
        <v>17</v>
      </c>
      <c r="D261" t="s">
        <v>28</v>
      </c>
      <c r="E261" t="s">
        <v>19</v>
      </c>
      <c r="F261" t="s">
        <v>39</v>
      </c>
      <c r="G261" t="s">
        <v>26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29.3</v>
      </c>
    </row>
    <row r="262" spans="1:16">
      <c r="A262" t="s">
        <v>303</v>
      </c>
      <c r="B262" s="2">
        <v>45733</v>
      </c>
      <c r="C262" t="s">
        <v>17</v>
      </c>
      <c r="D262" t="s">
        <v>23</v>
      </c>
      <c r="E262" t="s">
        <v>19</v>
      </c>
      <c r="F262" t="s">
        <v>25</v>
      </c>
      <c r="G262" t="s">
        <v>26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67.900000000000006</v>
      </c>
    </row>
    <row r="263" spans="1:16">
      <c r="A263" t="s">
        <v>304</v>
      </c>
      <c r="B263" s="2">
        <v>45787</v>
      </c>
      <c r="C263" t="s">
        <v>17</v>
      </c>
      <c r="D263" t="s">
        <v>18</v>
      </c>
      <c r="E263" t="s">
        <v>24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67.599999999999994</v>
      </c>
    </row>
    <row r="264" spans="1:16">
      <c r="A264" t="s">
        <v>305</v>
      </c>
      <c r="B264" s="2">
        <v>45784</v>
      </c>
      <c r="C264" t="s">
        <v>17</v>
      </c>
      <c r="D264" t="s">
        <v>32</v>
      </c>
      <c r="E264" t="s">
        <v>24</v>
      </c>
      <c r="F264" t="s">
        <v>29</v>
      </c>
      <c r="G264" t="s">
        <v>21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67.400000000000006</v>
      </c>
    </row>
    <row r="265" spans="1:16">
      <c r="A265" t="s">
        <v>306</v>
      </c>
      <c r="B265" s="2">
        <v>45714</v>
      </c>
      <c r="C265" t="s">
        <v>17</v>
      </c>
      <c r="D265" t="s">
        <v>23</v>
      </c>
      <c r="E265" t="s">
        <v>19</v>
      </c>
      <c r="F265" t="s">
        <v>29</v>
      </c>
      <c r="G265" t="s">
        <v>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</v>
      </c>
      <c r="N265">
        <v>0</v>
      </c>
      <c r="P265">
        <v>53</v>
      </c>
    </row>
    <row r="266" spans="1:16">
      <c r="A266" t="s">
        <v>307</v>
      </c>
      <c r="B266" s="2">
        <v>45788</v>
      </c>
      <c r="C266" t="s">
        <v>17</v>
      </c>
      <c r="D266" t="s">
        <v>18</v>
      </c>
      <c r="E266" t="s">
        <v>24</v>
      </c>
      <c r="F266" t="s">
        <v>25</v>
      </c>
      <c r="G266" t="s">
        <v>21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65.5</v>
      </c>
    </row>
    <row r="267" spans="1:16">
      <c r="A267" t="s">
        <v>308</v>
      </c>
      <c r="B267" s="2">
        <v>45736</v>
      </c>
      <c r="C267" t="s">
        <v>17</v>
      </c>
      <c r="D267" t="s">
        <v>32</v>
      </c>
      <c r="E267" t="s">
        <v>24</v>
      </c>
      <c r="F267" t="s">
        <v>25</v>
      </c>
      <c r="G267" t="s">
        <v>21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49.6</v>
      </c>
    </row>
    <row r="268" spans="1:16">
      <c r="A268" t="s">
        <v>309</v>
      </c>
      <c r="B268" s="2">
        <v>45676</v>
      </c>
      <c r="C268" t="s">
        <v>17</v>
      </c>
      <c r="D268" t="s">
        <v>18</v>
      </c>
      <c r="E268" t="s">
        <v>24</v>
      </c>
      <c r="F268" t="s">
        <v>20</v>
      </c>
      <c r="G268" t="s">
        <v>26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74.5</v>
      </c>
    </row>
    <row r="269" spans="1:16">
      <c r="A269" t="s">
        <v>310</v>
      </c>
      <c r="B269" s="2">
        <v>45724</v>
      </c>
      <c r="C269" t="s">
        <v>17</v>
      </c>
      <c r="D269" t="s">
        <v>18</v>
      </c>
      <c r="E269" t="s">
        <v>34</v>
      </c>
      <c r="F269" t="s">
        <v>29</v>
      </c>
      <c r="G269" t="s">
        <v>30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P269">
        <v>46.9</v>
      </c>
    </row>
    <row r="270" spans="1:16">
      <c r="A270" t="s">
        <v>311</v>
      </c>
      <c r="B270" s="2">
        <v>45772</v>
      </c>
      <c r="C270" t="s">
        <v>17</v>
      </c>
      <c r="D270" t="s">
        <v>18</v>
      </c>
      <c r="E270" t="s">
        <v>24</v>
      </c>
      <c r="F270" t="s">
        <v>25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87.1</v>
      </c>
    </row>
    <row r="271" spans="1:16">
      <c r="A271" t="s">
        <v>312</v>
      </c>
      <c r="B271" s="2">
        <v>45751</v>
      </c>
      <c r="C271" t="s">
        <v>17</v>
      </c>
      <c r="D271" t="s">
        <v>18</v>
      </c>
      <c r="E271" t="s">
        <v>19</v>
      </c>
      <c r="F271" t="s">
        <v>25</v>
      </c>
      <c r="G271" t="s">
        <v>26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56</v>
      </c>
    </row>
    <row r="272" spans="1:16">
      <c r="A272" t="s">
        <v>313</v>
      </c>
      <c r="B272" s="2">
        <v>45778</v>
      </c>
      <c r="C272" t="s">
        <v>17</v>
      </c>
      <c r="D272" t="s">
        <v>28</v>
      </c>
      <c r="E272" t="s">
        <v>24</v>
      </c>
      <c r="F272" t="s">
        <v>29</v>
      </c>
      <c r="G272" t="s">
        <v>30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P272">
        <v>61.7</v>
      </c>
    </row>
    <row r="273" spans="1:16">
      <c r="A273" t="s">
        <v>314</v>
      </c>
      <c r="B273" s="2">
        <v>45678</v>
      </c>
      <c r="C273" t="s">
        <v>17</v>
      </c>
      <c r="D273" t="s">
        <v>32</v>
      </c>
      <c r="E273" t="s">
        <v>24</v>
      </c>
      <c r="F273" t="s">
        <v>41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P273">
        <v>70.5</v>
      </c>
    </row>
    <row r="274" spans="1:16">
      <c r="A274" t="s">
        <v>315</v>
      </c>
      <c r="B274" s="2">
        <v>45698</v>
      </c>
      <c r="C274" t="s">
        <v>17</v>
      </c>
      <c r="D274" t="s">
        <v>18</v>
      </c>
      <c r="E274" t="s">
        <v>19</v>
      </c>
      <c r="F274" t="s">
        <v>39</v>
      </c>
      <c r="G274" t="s">
        <v>21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33.4</v>
      </c>
    </row>
    <row r="275" spans="1:16">
      <c r="A275" t="s">
        <v>316</v>
      </c>
      <c r="B275" s="2">
        <v>45783</v>
      </c>
      <c r="C275" t="s">
        <v>17</v>
      </c>
      <c r="D275" t="s">
        <v>32</v>
      </c>
      <c r="E275" t="s">
        <v>19</v>
      </c>
      <c r="F275" t="s">
        <v>25</v>
      </c>
      <c r="G275" t="s">
        <v>26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57.5</v>
      </c>
    </row>
    <row r="276" spans="1:16">
      <c r="A276" t="s">
        <v>317</v>
      </c>
      <c r="B276" s="2">
        <v>45696</v>
      </c>
      <c r="C276" t="s">
        <v>17</v>
      </c>
      <c r="D276" t="s">
        <v>18</v>
      </c>
      <c r="E276" t="s">
        <v>19</v>
      </c>
      <c r="F276" t="s">
        <v>29</v>
      </c>
      <c r="G276" t="s">
        <v>21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85.7</v>
      </c>
    </row>
    <row r="277" spans="1:16">
      <c r="A277" t="s">
        <v>318</v>
      </c>
      <c r="B277" s="2">
        <v>45808</v>
      </c>
      <c r="C277" t="s">
        <v>17</v>
      </c>
      <c r="D277" t="s">
        <v>28</v>
      </c>
      <c r="E277" t="s">
        <v>24</v>
      </c>
      <c r="F277" t="s">
        <v>41</v>
      </c>
      <c r="G277" t="s">
        <v>26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41.9</v>
      </c>
    </row>
    <row r="278" spans="1:16">
      <c r="A278" t="s">
        <v>319</v>
      </c>
      <c r="B278" s="2">
        <v>45695</v>
      </c>
      <c r="C278" t="s">
        <v>17</v>
      </c>
      <c r="D278" t="s">
        <v>23</v>
      </c>
      <c r="E278" t="s">
        <v>24</v>
      </c>
      <c r="F278" t="s">
        <v>20</v>
      </c>
      <c r="G278" t="s">
        <v>21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70.2</v>
      </c>
    </row>
    <row r="279" spans="1:16">
      <c r="A279" t="s">
        <v>320</v>
      </c>
      <c r="B279" s="2">
        <v>45698</v>
      </c>
      <c r="C279" t="s">
        <v>17</v>
      </c>
      <c r="D279" t="s">
        <v>18</v>
      </c>
      <c r="E279" t="s">
        <v>24</v>
      </c>
      <c r="F279" t="s">
        <v>41</v>
      </c>
      <c r="G279" t="s">
        <v>26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42.6</v>
      </c>
    </row>
    <row r="280" spans="1:16">
      <c r="A280" t="s">
        <v>321</v>
      </c>
      <c r="B280" s="2">
        <v>45688</v>
      </c>
      <c r="C280" t="s">
        <v>17</v>
      </c>
      <c r="D280" t="s">
        <v>23</v>
      </c>
      <c r="E280" t="s">
        <v>24</v>
      </c>
      <c r="F280" t="s">
        <v>41</v>
      </c>
      <c r="G280" t="s">
        <v>21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0</v>
      </c>
      <c r="P280">
        <v>30.4</v>
      </c>
    </row>
    <row r="281" spans="1:16">
      <c r="A281" t="s">
        <v>322</v>
      </c>
      <c r="B281" s="2">
        <v>45732</v>
      </c>
      <c r="C281" t="s">
        <v>17</v>
      </c>
      <c r="D281" t="s">
        <v>28</v>
      </c>
      <c r="E281" t="s">
        <v>24</v>
      </c>
      <c r="F281" t="s">
        <v>29</v>
      </c>
      <c r="G281" t="s">
        <v>21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63.7</v>
      </c>
    </row>
    <row r="282" spans="1:16">
      <c r="A282" t="s">
        <v>323</v>
      </c>
      <c r="B282" s="2">
        <v>45771</v>
      </c>
      <c r="C282" t="s">
        <v>17</v>
      </c>
      <c r="D282" t="s">
        <v>32</v>
      </c>
      <c r="E282" t="s">
        <v>24</v>
      </c>
      <c r="F282" t="s">
        <v>41</v>
      </c>
      <c r="G282" t="s">
        <v>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42.7</v>
      </c>
    </row>
    <row r="283" spans="1:16">
      <c r="A283" t="s">
        <v>324</v>
      </c>
      <c r="B283" s="2">
        <v>45685</v>
      </c>
      <c r="C283" t="s">
        <v>17</v>
      </c>
      <c r="D283" t="s">
        <v>18</v>
      </c>
      <c r="E283" t="s">
        <v>24</v>
      </c>
      <c r="F283" t="s">
        <v>25</v>
      </c>
      <c r="G283" t="s">
        <v>26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74.3</v>
      </c>
    </row>
    <row r="284" spans="1:16">
      <c r="A284" t="s">
        <v>325</v>
      </c>
      <c r="B284" s="2">
        <v>45704</v>
      </c>
      <c r="C284" t="s">
        <v>17</v>
      </c>
      <c r="D284" t="s">
        <v>23</v>
      </c>
      <c r="E284" t="s">
        <v>19</v>
      </c>
      <c r="F284" t="s">
        <v>20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40.6</v>
      </c>
    </row>
    <row r="285" spans="1:16">
      <c r="A285" t="s">
        <v>326</v>
      </c>
      <c r="B285" s="2">
        <v>45739</v>
      </c>
      <c r="C285" t="s">
        <v>17</v>
      </c>
      <c r="D285" t="s">
        <v>28</v>
      </c>
      <c r="E285" t="s">
        <v>24</v>
      </c>
      <c r="F285" t="s">
        <v>25</v>
      </c>
      <c r="G285" t="s">
        <v>30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67</v>
      </c>
    </row>
    <row r="286" spans="1:16">
      <c r="A286" t="s">
        <v>327</v>
      </c>
      <c r="B286" s="2">
        <v>45808</v>
      </c>
      <c r="C286" t="s">
        <v>17</v>
      </c>
      <c r="D286" t="s">
        <v>28</v>
      </c>
      <c r="E286" t="s">
        <v>24</v>
      </c>
      <c r="F286" t="s">
        <v>29</v>
      </c>
      <c r="G286" t="s">
        <v>30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51</v>
      </c>
    </row>
    <row r="287" spans="1:16">
      <c r="A287" t="s">
        <v>328</v>
      </c>
      <c r="B287" s="2">
        <v>45760</v>
      </c>
      <c r="C287" t="s">
        <v>17</v>
      </c>
      <c r="D287" t="s">
        <v>23</v>
      </c>
      <c r="E287" t="s">
        <v>24</v>
      </c>
      <c r="F287" t="s">
        <v>41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P287">
        <v>54.8</v>
      </c>
    </row>
    <row r="288" spans="1:16">
      <c r="A288" t="s">
        <v>329</v>
      </c>
      <c r="B288" s="2">
        <v>45791</v>
      </c>
      <c r="C288" t="s">
        <v>17</v>
      </c>
      <c r="D288" t="s">
        <v>18</v>
      </c>
      <c r="E288" t="s">
        <v>34</v>
      </c>
      <c r="F288" t="s">
        <v>20</v>
      </c>
      <c r="G288" t="s">
        <v>21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40.799999999999997</v>
      </c>
    </row>
    <row r="289" spans="1:16">
      <c r="A289" t="s">
        <v>330</v>
      </c>
      <c r="B289" s="2">
        <v>45707</v>
      </c>
      <c r="C289" t="s">
        <v>17</v>
      </c>
      <c r="D289" t="s">
        <v>28</v>
      </c>
      <c r="E289" t="s">
        <v>24</v>
      </c>
      <c r="F289" t="s">
        <v>29</v>
      </c>
      <c r="G289" t="s">
        <v>26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48.8</v>
      </c>
    </row>
    <row r="290" spans="1:16">
      <c r="A290" t="s">
        <v>332</v>
      </c>
      <c r="B290" s="2">
        <v>45786</v>
      </c>
      <c r="C290" t="s">
        <v>17</v>
      </c>
      <c r="D290" t="s">
        <v>18</v>
      </c>
      <c r="E290" t="s">
        <v>24</v>
      </c>
      <c r="F290" t="s">
        <v>20</v>
      </c>
      <c r="G290" t="s">
        <v>21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1</v>
      </c>
      <c r="N290">
        <v>0</v>
      </c>
      <c r="P290">
        <v>60.5</v>
      </c>
    </row>
    <row r="291" spans="1:16">
      <c r="A291" t="s">
        <v>333</v>
      </c>
      <c r="B291" s="2">
        <v>45699</v>
      </c>
      <c r="C291" t="s">
        <v>17</v>
      </c>
      <c r="D291" t="s">
        <v>18</v>
      </c>
      <c r="E291" t="s">
        <v>24</v>
      </c>
      <c r="F291" t="s">
        <v>25</v>
      </c>
      <c r="G291" t="s">
        <v>21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63.6</v>
      </c>
    </row>
    <row r="292" spans="1:16">
      <c r="A292" t="s">
        <v>335</v>
      </c>
      <c r="B292" s="2">
        <v>45700</v>
      </c>
      <c r="C292" t="s">
        <v>17</v>
      </c>
      <c r="D292" t="s">
        <v>32</v>
      </c>
      <c r="E292" t="s">
        <v>24</v>
      </c>
      <c r="F292" t="s">
        <v>41</v>
      </c>
      <c r="G292" t="s">
        <v>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52.7</v>
      </c>
    </row>
    <row r="293" spans="1:16">
      <c r="A293" t="s">
        <v>336</v>
      </c>
      <c r="B293" s="2">
        <v>45662</v>
      </c>
      <c r="C293" t="s">
        <v>17</v>
      </c>
      <c r="D293" t="s">
        <v>32</v>
      </c>
      <c r="E293" t="s">
        <v>34</v>
      </c>
      <c r="F293" t="s">
        <v>41</v>
      </c>
      <c r="G293" t="s">
        <v>30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2</v>
      </c>
      <c r="N293">
        <v>0</v>
      </c>
      <c r="P293">
        <v>48.9</v>
      </c>
    </row>
    <row r="294" spans="1:16">
      <c r="A294" t="s">
        <v>337</v>
      </c>
      <c r="B294" s="2">
        <v>45796</v>
      </c>
      <c r="C294" t="s">
        <v>17</v>
      </c>
      <c r="D294" t="s">
        <v>23</v>
      </c>
      <c r="E294" t="s">
        <v>24</v>
      </c>
      <c r="F294" t="s">
        <v>25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79.7</v>
      </c>
    </row>
    <row r="295" spans="1:16">
      <c r="A295" t="s">
        <v>338</v>
      </c>
      <c r="B295" s="2">
        <v>45690</v>
      </c>
      <c r="C295" t="s">
        <v>17</v>
      </c>
      <c r="D295" t="s">
        <v>18</v>
      </c>
      <c r="E295" t="s">
        <v>24</v>
      </c>
      <c r="F295" t="s">
        <v>41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44.9</v>
      </c>
    </row>
    <row r="296" spans="1:16">
      <c r="A296" t="s">
        <v>340</v>
      </c>
      <c r="B296" s="2">
        <v>45778</v>
      </c>
      <c r="C296" t="s">
        <v>17</v>
      </c>
      <c r="D296" t="s">
        <v>32</v>
      </c>
      <c r="E296" t="s">
        <v>19</v>
      </c>
      <c r="F296" t="s">
        <v>20</v>
      </c>
      <c r="G296" t="s">
        <v>26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70</v>
      </c>
    </row>
    <row r="297" spans="1:16">
      <c r="A297" t="s">
        <v>341</v>
      </c>
      <c r="B297" s="2">
        <v>45793</v>
      </c>
      <c r="C297" t="s">
        <v>17</v>
      </c>
      <c r="D297" t="s">
        <v>32</v>
      </c>
      <c r="E297" t="s">
        <v>19</v>
      </c>
      <c r="F297" t="s">
        <v>39</v>
      </c>
      <c r="G297" t="s">
        <v>21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77.7</v>
      </c>
    </row>
    <row r="298" spans="1:16">
      <c r="A298" t="s">
        <v>342</v>
      </c>
      <c r="B298" s="2">
        <v>45724</v>
      </c>
      <c r="C298" t="s">
        <v>17</v>
      </c>
      <c r="D298" t="s">
        <v>23</v>
      </c>
      <c r="E298" t="s">
        <v>24</v>
      </c>
      <c r="F298" t="s">
        <v>25</v>
      </c>
      <c r="G298" t="s">
        <v>26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71.2</v>
      </c>
    </row>
    <row r="299" spans="1:16">
      <c r="A299" t="s">
        <v>343</v>
      </c>
      <c r="B299" s="2">
        <v>45751</v>
      </c>
      <c r="C299" t="s">
        <v>17</v>
      </c>
      <c r="D299" t="s">
        <v>18</v>
      </c>
      <c r="E299" t="s">
        <v>24</v>
      </c>
      <c r="F299" t="s">
        <v>25</v>
      </c>
      <c r="G299" t="s">
        <v>21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43.8</v>
      </c>
    </row>
    <row r="300" spans="1:16">
      <c r="A300" t="s">
        <v>344</v>
      </c>
      <c r="B300" s="2">
        <v>45807</v>
      </c>
      <c r="C300" t="s">
        <v>17</v>
      </c>
      <c r="D300" t="s">
        <v>32</v>
      </c>
      <c r="E300" t="s">
        <v>34</v>
      </c>
      <c r="F300" t="s">
        <v>25</v>
      </c>
      <c r="G300" t="s">
        <v>26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50.9</v>
      </c>
    </row>
    <row r="301" spans="1:16">
      <c r="A301" t="s">
        <v>345</v>
      </c>
      <c r="B301" s="2">
        <v>45662</v>
      </c>
      <c r="C301" t="s">
        <v>17</v>
      </c>
      <c r="D301" t="s">
        <v>23</v>
      </c>
      <c r="E301" t="s">
        <v>24</v>
      </c>
      <c r="F301" t="s">
        <v>25</v>
      </c>
      <c r="G301" t="s">
        <v>30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58.5</v>
      </c>
    </row>
    <row r="302" spans="1:16">
      <c r="A302" t="s">
        <v>346</v>
      </c>
      <c r="B302" s="2">
        <v>45677</v>
      </c>
      <c r="C302" t="s">
        <v>17</v>
      </c>
      <c r="D302" t="s">
        <v>28</v>
      </c>
      <c r="E302" t="s">
        <v>24</v>
      </c>
      <c r="F302" t="s">
        <v>25</v>
      </c>
      <c r="G302" t="s">
        <v>26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P302">
        <v>53.6</v>
      </c>
    </row>
    <row r="303" spans="1:16">
      <c r="A303" t="s">
        <v>347</v>
      </c>
      <c r="B303" s="2">
        <v>45778</v>
      </c>
      <c r="C303" t="s">
        <v>17</v>
      </c>
      <c r="D303" t="s">
        <v>28</v>
      </c>
      <c r="E303" t="s">
        <v>24</v>
      </c>
      <c r="F303" t="s">
        <v>20</v>
      </c>
      <c r="G303" t="s">
        <v>26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54.9</v>
      </c>
    </row>
    <row r="304" spans="1:16">
      <c r="A304" t="s">
        <v>348</v>
      </c>
      <c r="B304" s="2">
        <v>45721</v>
      </c>
      <c r="C304" t="s">
        <v>17</v>
      </c>
      <c r="D304" t="s">
        <v>18</v>
      </c>
      <c r="E304" t="s">
        <v>19</v>
      </c>
      <c r="F304" t="s">
        <v>25</v>
      </c>
      <c r="G304" t="s">
        <v>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57.3</v>
      </c>
    </row>
    <row r="305" spans="1:16">
      <c r="A305" t="s">
        <v>349</v>
      </c>
      <c r="B305" s="2">
        <v>45748</v>
      </c>
      <c r="C305" t="s">
        <v>17</v>
      </c>
      <c r="D305" t="s">
        <v>28</v>
      </c>
      <c r="E305" t="s">
        <v>19</v>
      </c>
      <c r="F305" t="s">
        <v>39</v>
      </c>
      <c r="G305" t="s">
        <v>26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52.1</v>
      </c>
    </row>
    <row r="306" spans="1:16">
      <c r="A306" t="s">
        <v>350</v>
      </c>
      <c r="B306" s="2">
        <v>45780</v>
      </c>
      <c r="C306" t="s">
        <v>17</v>
      </c>
      <c r="D306" t="s">
        <v>18</v>
      </c>
      <c r="E306" t="s">
        <v>24</v>
      </c>
      <c r="F306" t="s">
        <v>25</v>
      </c>
      <c r="G306" t="s">
        <v>26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80</v>
      </c>
    </row>
    <row r="307" spans="1:16">
      <c r="A307" t="s">
        <v>351</v>
      </c>
      <c r="B307" s="2">
        <v>45722</v>
      </c>
      <c r="C307" t="s">
        <v>17</v>
      </c>
      <c r="D307" t="s">
        <v>32</v>
      </c>
      <c r="E307" t="s">
        <v>19</v>
      </c>
      <c r="F307" t="s">
        <v>29</v>
      </c>
      <c r="G307" t="s">
        <v>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39.299999999999997</v>
      </c>
    </row>
    <row r="308" spans="1:16">
      <c r="A308" t="s">
        <v>352</v>
      </c>
      <c r="B308" s="2">
        <v>45748</v>
      </c>
      <c r="C308" t="s">
        <v>17</v>
      </c>
      <c r="D308" t="s">
        <v>18</v>
      </c>
      <c r="E308" t="s">
        <v>19</v>
      </c>
      <c r="F308" t="s">
        <v>39</v>
      </c>
      <c r="G308" t="s">
        <v>30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45.7</v>
      </c>
    </row>
    <row r="309" spans="1:16">
      <c r="A309" t="s">
        <v>353</v>
      </c>
      <c r="B309" s="2">
        <v>45697</v>
      </c>
      <c r="C309" t="s">
        <v>17</v>
      </c>
      <c r="D309" t="s">
        <v>18</v>
      </c>
      <c r="E309" t="s">
        <v>19</v>
      </c>
      <c r="F309" t="s">
        <v>41</v>
      </c>
      <c r="G309" t="s">
        <v>21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P309">
        <v>61.2</v>
      </c>
    </row>
    <row r="310" spans="1:16">
      <c r="A310" t="s">
        <v>354</v>
      </c>
      <c r="B310" s="2">
        <v>45759</v>
      </c>
      <c r="C310" t="s">
        <v>17</v>
      </c>
      <c r="D310" t="s">
        <v>23</v>
      </c>
      <c r="E310" t="s">
        <v>24</v>
      </c>
      <c r="F310" t="s">
        <v>25</v>
      </c>
      <c r="G310" t="s">
        <v>21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66.2</v>
      </c>
    </row>
    <row r="311" spans="1:16">
      <c r="A311" t="s">
        <v>355</v>
      </c>
      <c r="B311" s="2">
        <v>45734</v>
      </c>
      <c r="C311" t="s">
        <v>17</v>
      </c>
      <c r="D311" t="s">
        <v>28</v>
      </c>
      <c r="E311" t="s">
        <v>24</v>
      </c>
      <c r="F311" t="s">
        <v>41</v>
      </c>
      <c r="G311" t="s">
        <v>26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P311">
        <v>61.3</v>
      </c>
    </row>
    <row r="312" spans="1:16">
      <c r="A312" t="s">
        <v>356</v>
      </c>
      <c r="B312" s="2">
        <v>45750</v>
      </c>
      <c r="C312" t="s">
        <v>17</v>
      </c>
      <c r="D312" t="s">
        <v>28</v>
      </c>
      <c r="E312" t="s">
        <v>24</v>
      </c>
      <c r="F312" t="s">
        <v>29</v>
      </c>
      <c r="G312" t="s">
        <v>26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72.2</v>
      </c>
    </row>
    <row r="313" spans="1:16">
      <c r="A313" t="s">
        <v>357</v>
      </c>
      <c r="B313" s="2">
        <v>45749</v>
      </c>
      <c r="C313" t="s">
        <v>17</v>
      </c>
      <c r="D313" t="s">
        <v>23</v>
      </c>
      <c r="E313" t="s">
        <v>24</v>
      </c>
      <c r="F313" t="s">
        <v>20</v>
      </c>
      <c r="G313" t="s">
        <v>30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P313">
        <v>84</v>
      </c>
    </row>
    <row r="314" spans="1:16">
      <c r="A314" t="s">
        <v>358</v>
      </c>
      <c r="B314" s="2">
        <v>45787</v>
      </c>
      <c r="C314" t="s">
        <v>17</v>
      </c>
      <c r="D314" t="s">
        <v>23</v>
      </c>
      <c r="E314" t="s">
        <v>19</v>
      </c>
      <c r="F314" t="s">
        <v>20</v>
      </c>
      <c r="G314" t="s">
        <v>21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59.8</v>
      </c>
    </row>
    <row r="315" spans="1:16">
      <c r="A315" t="s">
        <v>359</v>
      </c>
      <c r="B315" s="2">
        <v>45776</v>
      </c>
      <c r="C315" t="s">
        <v>17</v>
      </c>
      <c r="D315" t="s">
        <v>23</v>
      </c>
      <c r="E315" t="s">
        <v>19</v>
      </c>
      <c r="F315" t="s">
        <v>29</v>
      </c>
      <c r="G315" t="s">
        <v>26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64.900000000000006</v>
      </c>
    </row>
    <row r="316" spans="1:16">
      <c r="A316" t="s">
        <v>360</v>
      </c>
      <c r="B316" s="2">
        <v>45715</v>
      </c>
      <c r="C316" t="s">
        <v>17</v>
      </c>
      <c r="D316" t="s">
        <v>32</v>
      </c>
      <c r="E316" t="s">
        <v>24</v>
      </c>
      <c r="F316" t="s">
        <v>29</v>
      </c>
      <c r="G316" t="s">
        <v>26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66.8</v>
      </c>
    </row>
    <row r="317" spans="1:16">
      <c r="A317" t="s">
        <v>361</v>
      </c>
      <c r="B317" s="2">
        <v>45757</v>
      </c>
      <c r="C317" t="s">
        <v>17</v>
      </c>
      <c r="D317" t="s">
        <v>18</v>
      </c>
      <c r="E317" t="s">
        <v>19</v>
      </c>
      <c r="F317" t="s">
        <v>25</v>
      </c>
      <c r="G317" t="s">
        <v>30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70.900000000000006</v>
      </c>
    </row>
    <row r="318" spans="1:16">
      <c r="A318" t="s">
        <v>363</v>
      </c>
      <c r="B318" s="2">
        <v>45780</v>
      </c>
      <c r="C318" t="s">
        <v>17</v>
      </c>
      <c r="D318" t="s">
        <v>18</v>
      </c>
      <c r="E318" t="s">
        <v>24</v>
      </c>
      <c r="F318" t="s">
        <v>25</v>
      </c>
      <c r="G318" t="s">
        <v>21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72.400000000000006</v>
      </c>
    </row>
    <row r="319" spans="1:16">
      <c r="A319" t="s">
        <v>364</v>
      </c>
      <c r="B319" s="2">
        <v>45726</v>
      </c>
      <c r="C319" t="s">
        <v>17</v>
      </c>
      <c r="D319" t="s">
        <v>28</v>
      </c>
      <c r="E319" t="s">
        <v>24</v>
      </c>
      <c r="F319" t="s">
        <v>25</v>
      </c>
      <c r="G319" t="s">
        <v>21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63.3</v>
      </c>
    </row>
    <row r="320" spans="1:16">
      <c r="A320" t="s">
        <v>365</v>
      </c>
      <c r="B320" s="2">
        <v>45667</v>
      </c>
      <c r="C320" t="s">
        <v>17</v>
      </c>
      <c r="D320" t="s">
        <v>23</v>
      </c>
      <c r="E320" t="s">
        <v>34</v>
      </c>
      <c r="F320" t="s">
        <v>41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30.8</v>
      </c>
    </row>
    <row r="321" spans="1:16">
      <c r="A321" t="s">
        <v>368</v>
      </c>
      <c r="B321" s="2">
        <v>45760</v>
      </c>
      <c r="C321" t="s">
        <v>17</v>
      </c>
      <c r="D321" t="s">
        <v>23</v>
      </c>
      <c r="E321" t="s">
        <v>24</v>
      </c>
      <c r="F321" t="s">
        <v>25</v>
      </c>
      <c r="G321" t="s">
        <v>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40.4</v>
      </c>
    </row>
    <row r="322" spans="1:16">
      <c r="A322" t="s">
        <v>369</v>
      </c>
      <c r="B322" s="2">
        <v>45696</v>
      </c>
      <c r="C322" t="s">
        <v>17</v>
      </c>
      <c r="D322" t="s">
        <v>28</v>
      </c>
      <c r="E322" t="s">
        <v>24</v>
      </c>
      <c r="F322" t="s">
        <v>29</v>
      </c>
      <c r="G322" t="s">
        <v>26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P322">
        <v>68.099999999999994</v>
      </c>
    </row>
    <row r="323" spans="1:16">
      <c r="A323" t="s">
        <v>370</v>
      </c>
      <c r="B323" s="2">
        <v>45747</v>
      </c>
      <c r="C323" t="s">
        <v>17</v>
      </c>
      <c r="D323" t="s">
        <v>23</v>
      </c>
      <c r="E323" t="s">
        <v>19</v>
      </c>
      <c r="F323" t="s">
        <v>39</v>
      </c>
      <c r="G323" t="s">
        <v>26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86.3</v>
      </c>
    </row>
    <row r="324" spans="1:16">
      <c r="A324" t="s">
        <v>371</v>
      </c>
      <c r="B324" s="2">
        <v>45688</v>
      </c>
      <c r="C324" t="s">
        <v>17</v>
      </c>
      <c r="D324" t="s">
        <v>23</v>
      </c>
      <c r="E324" t="s">
        <v>19</v>
      </c>
      <c r="F324" t="s">
        <v>39</v>
      </c>
      <c r="G324" t="s">
        <v>26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42.9</v>
      </c>
    </row>
    <row r="325" spans="1:16">
      <c r="A325" t="s">
        <v>372</v>
      </c>
      <c r="B325" s="2">
        <v>45785</v>
      </c>
      <c r="C325" t="s">
        <v>17</v>
      </c>
      <c r="D325" t="s">
        <v>23</v>
      </c>
      <c r="E325" t="s">
        <v>34</v>
      </c>
      <c r="F325" t="s">
        <v>25</v>
      </c>
      <c r="G325" t="s">
        <v>26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61.4</v>
      </c>
    </row>
    <row r="326" spans="1:16">
      <c r="A326" t="s">
        <v>373</v>
      </c>
      <c r="B326" s="2">
        <v>45731</v>
      </c>
      <c r="C326" t="s">
        <v>17</v>
      </c>
      <c r="D326" t="s">
        <v>18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P326">
        <v>73.3</v>
      </c>
    </row>
    <row r="327" spans="1:16">
      <c r="A327" t="s">
        <v>374</v>
      </c>
      <c r="B327" s="2">
        <v>45670</v>
      </c>
      <c r="C327" t="s">
        <v>17</v>
      </c>
      <c r="D327" t="s">
        <v>32</v>
      </c>
      <c r="E327" t="s">
        <v>24</v>
      </c>
      <c r="F327" t="s">
        <v>39</v>
      </c>
      <c r="G327" t="s">
        <v>21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59.4</v>
      </c>
    </row>
    <row r="328" spans="1:16">
      <c r="A328" t="s">
        <v>375</v>
      </c>
      <c r="B328" s="2">
        <v>45723</v>
      </c>
      <c r="C328" t="s">
        <v>17</v>
      </c>
      <c r="D328" t="s">
        <v>32</v>
      </c>
      <c r="E328" t="s">
        <v>34</v>
      </c>
      <c r="F328" t="s">
        <v>25</v>
      </c>
      <c r="G328" t="s">
        <v>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35.200000000000003</v>
      </c>
    </row>
    <row r="329" spans="1:16">
      <c r="A329" t="s">
        <v>376</v>
      </c>
      <c r="B329" s="2">
        <v>45698</v>
      </c>
      <c r="C329" t="s">
        <v>17</v>
      </c>
      <c r="D329" t="s">
        <v>32</v>
      </c>
      <c r="E329" t="s">
        <v>24</v>
      </c>
      <c r="F329" t="s">
        <v>41</v>
      </c>
      <c r="G329" t="s">
        <v>30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55.3</v>
      </c>
    </row>
    <row r="330" spans="1:16">
      <c r="A330" t="s">
        <v>377</v>
      </c>
      <c r="B330" s="2">
        <v>45728</v>
      </c>
      <c r="C330" t="s">
        <v>17</v>
      </c>
      <c r="D330" t="s">
        <v>28</v>
      </c>
      <c r="E330" t="s">
        <v>24</v>
      </c>
      <c r="F330" t="s">
        <v>29</v>
      </c>
      <c r="G330" t="s">
        <v>26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37.5</v>
      </c>
    </row>
    <row r="331" spans="1:16">
      <c r="A331" t="s">
        <v>378</v>
      </c>
      <c r="B331" s="2">
        <v>45660</v>
      </c>
      <c r="C331" t="s">
        <v>17</v>
      </c>
      <c r="D331" t="s">
        <v>32</v>
      </c>
      <c r="E331" t="s">
        <v>19</v>
      </c>
      <c r="F331" t="s">
        <v>29</v>
      </c>
      <c r="G331" t="s">
        <v>26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P331">
        <v>66.400000000000006</v>
      </c>
    </row>
    <row r="332" spans="1:16">
      <c r="A332" t="s">
        <v>379</v>
      </c>
      <c r="B332" s="2">
        <v>45775</v>
      </c>
      <c r="C332" t="s">
        <v>17</v>
      </c>
      <c r="D332" t="s">
        <v>18</v>
      </c>
      <c r="E332" t="s">
        <v>34</v>
      </c>
      <c r="F332" t="s">
        <v>41</v>
      </c>
      <c r="G332" t="s">
        <v>21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61.9</v>
      </c>
    </row>
    <row r="333" spans="1:16">
      <c r="A333" t="s">
        <v>380</v>
      </c>
      <c r="B333" s="2">
        <v>45764</v>
      </c>
      <c r="C333" t="s">
        <v>17</v>
      </c>
      <c r="D333" t="s">
        <v>28</v>
      </c>
      <c r="E333" t="s">
        <v>24</v>
      </c>
      <c r="F333" t="s">
        <v>25</v>
      </c>
      <c r="G333" t="s">
        <v>26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56</v>
      </c>
    </row>
    <row r="334" spans="1:16">
      <c r="A334" t="s">
        <v>381</v>
      </c>
      <c r="B334" s="2">
        <v>45800</v>
      </c>
      <c r="C334" t="s">
        <v>17</v>
      </c>
      <c r="D334" t="s">
        <v>32</v>
      </c>
      <c r="E334" t="s">
        <v>19</v>
      </c>
      <c r="F334" t="s">
        <v>41</v>
      </c>
      <c r="G334" t="s">
        <v>21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55.5</v>
      </c>
    </row>
    <row r="335" spans="1:16">
      <c r="A335" t="s">
        <v>382</v>
      </c>
      <c r="B335" s="2">
        <v>45707</v>
      </c>
      <c r="C335" t="s">
        <v>17</v>
      </c>
      <c r="D335" t="s">
        <v>23</v>
      </c>
      <c r="E335" t="s">
        <v>34</v>
      </c>
      <c r="F335" t="s">
        <v>39</v>
      </c>
      <c r="G335" t="s">
        <v>21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37.200000000000003</v>
      </c>
    </row>
    <row r="336" spans="1:16">
      <c r="A336" t="s">
        <v>383</v>
      </c>
      <c r="B336" s="2">
        <v>45675</v>
      </c>
      <c r="C336" t="s">
        <v>17</v>
      </c>
      <c r="D336" t="s">
        <v>32</v>
      </c>
      <c r="E336" t="s">
        <v>19</v>
      </c>
      <c r="F336" t="s">
        <v>25</v>
      </c>
      <c r="G336" t="s">
        <v>26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P336">
        <v>70.5</v>
      </c>
    </row>
    <row r="337" spans="1:16">
      <c r="A337" t="s">
        <v>384</v>
      </c>
      <c r="B337" s="2">
        <v>45764</v>
      </c>
      <c r="C337" t="s">
        <v>17</v>
      </c>
      <c r="D337" t="s">
        <v>18</v>
      </c>
      <c r="E337" t="s">
        <v>24</v>
      </c>
      <c r="F337" t="s">
        <v>25</v>
      </c>
      <c r="G337" t="s">
        <v>26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61.2</v>
      </c>
    </row>
    <row r="338" spans="1:16">
      <c r="A338" t="s">
        <v>385</v>
      </c>
      <c r="B338" s="2">
        <v>45759</v>
      </c>
      <c r="C338" t="s">
        <v>17</v>
      </c>
      <c r="D338" t="s">
        <v>28</v>
      </c>
      <c r="E338" t="s">
        <v>34</v>
      </c>
      <c r="F338" t="s">
        <v>41</v>
      </c>
      <c r="G338" t="s">
        <v>26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P338">
        <v>64.599999999999994</v>
      </c>
    </row>
    <row r="339" spans="1:16">
      <c r="A339" t="s">
        <v>386</v>
      </c>
      <c r="B339" s="2">
        <v>45793</v>
      </c>
      <c r="C339" t="s">
        <v>17</v>
      </c>
      <c r="D339" t="s">
        <v>28</v>
      </c>
      <c r="E339" t="s">
        <v>24</v>
      </c>
      <c r="F339" t="s">
        <v>20</v>
      </c>
      <c r="G339" t="s">
        <v>26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91.7</v>
      </c>
    </row>
    <row r="340" spans="1:16">
      <c r="A340" t="s">
        <v>387</v>
      </c>
      <c r="B340" s="2">
        <v>45740</v>
      </c>
      <c r="C340" t="s">
        <v>17</v>
      </c>
      <c r="D340" t="s">
        <v>23</v>
      </c>
      <c r="E340" t="s">
        <v>24</v>
      </c>
      <c r="F340" t="s">
        <v>41</v>
      </c>
      <c r="G340" t="s">
        <v>26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46</v>
      </c>
    </row>
    <row r="341" spans="1:16">
      <c r="A341" t="s">
        <v>388</v>
      </c>
      <c r="B341" s="2">
        <v>45704</v>
      </c>
      <c r="C341" t="s">
        <v>17</v>
      </c>
      <c r="D341" t="s">
        <v>23</v>
      </c>
      <c r="E341" t="s">
        <v>24</v>
      </c>
      <c r="F341" t="s">
        <v>25</v>
      </c>
      <c r="G341" t="s">
        <v>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50.8</v>
      </c>
    </row>
    <row r="342" spans="1:16">
      <c r="A342" t="s">
        <v>389</v>
      </c>
      <c r="B342" s="2">
        <v>45735</v>
      </c>
      <c r="C342" t="s">
        <v>17</v>
      </c>
      <c r="D342" t="s">
        <v>18</v>
      </c>
      <c r="E342" t="s">
        <v>34</v>
      </c>
      <c r="F342" t="s">
        <v>25</v>
      </c>
      <c r="G342" t="s">
        <v>26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P342">
        <v>52.8</v>
      </c>
    </row>
    <row r="343" spans="1:16">
      <c r="A343" t="s">
        <v>390</v>
      </c>
      <c r="B343" s="2">
        <v>45768</v>
      </c>
      <c r="C343" t="s">
        <v>17</v>
      </c>
      <c r="D343" t="s">
        <v>32</v>
      </c>
      <c r="E343" t="s">
        <v>24</v>
      </c>
      <c r="F343" t="s">
        <v>25</v>
      </c>
      <c r="G343" t="s">
        <v>21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P343">
        <v>63</v>
      </c>
    </row>
    <row r="344" spans="1:16">
      <c r="A344" t="s">
        <v>391</v>
      </c>
      <c r="B344" s="2">
        <v>45668</v>
      </c>
      <c r="C344" t="s">
        <v>17</v>
      </c>
      <c r="D344" t="s">
        <v>23</v>
      </c>
      <c r="E344" t="s">
        <v>24</v>
      </c>
      <c r="F344" t="s">
        <v>25</v>
      </c>
      <c r="G344" t="s">
        <v>26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28.4</v>
      </c>
    </row>
    <row r="345" spans="1:16">
      <c r="A345" t="s">
        <v>392</v>
      </c>
      <c r="B345" s="2">
        <v>45771</v>
      </c>
      <c r="C345" t="s">
        <v>17</v>
      </c>
      <c r="D345" t="s">
        <v>23</v>
      </c>
      <c r="E345" t="s">
        <v>19</v>
      </c>
      <c r="F345" t="s">
        <v>25</v>
      </c>
      <c r="G345" t="s">
        <v>26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65.599999999999994</v>
      </c>
    </row>
    <row r="346" spans="1:16">
      <c r="A346" t="s">
        <v>393</v>
      </c>
      <c r="B346" s="2">
        <v>45729</v>
      </c>
      <c r="C346" t="s">
        <v>17</v>
      </c>
      <c r="D346" t="s">
        <v>18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P346">
        <v>54.7</v>
      </c>
    </row>
    <row r="347" spans="1:16">
      <c r="A347" t="s">
        <v>394</v>
      </c>
      <c r="B347" s="2">
        <v>45687</v>
      </c>
      <c r="C347" t="s">
        <v>17</v>
      </c>
      <c r="D347" t="s">
        <v>18</v>
      </c>
      <c r="E347" t="s">
        <v>24</v>
      </c>
      <c r="F347" t="s">
        <v>41</v>
      </c>
      <c r="G347" t="s">
        <v>21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36.1</v>
      </c>
    </row>
    <row r="348" spans="1:16">
      <c r="A348" t="s">
        <v>395</v>
      </c>
      <c r="B348" s="2">
        <v>45785</v>
      </c>
      <c r="C348" t="s">
        <v>17</v>
      </c>
      <c r="D348" t="s">
        <v>32</v>
      </c>
      <c r="E348" t="s">
        <v>24</v>
      </c>
      <c r="F348" t="s">
        <v>41</v>
      </c>
      <c r="G348" t="s">
        <v>21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P348">
        <v>70.400000000000006</v>
      </c>
    </row>
    <row r="349" spans="1:16">
      <c r="A349" t="s">
        <v>396</v>
      </c>
      <c r="B349" s="2">
        <v>45665</v>
      </c>
      <c r="C349" t="s">
        <v>17</v>
      </c>
      <c r="D349" t="s">
        <v>28</v>
      </c>
      <c r="E349" t="s">
        <v>19</v>
      </c>
      <c r="F349" t="s">
        <v>41</v>
      </c>
      <c r="G349" t="s">
        <v>26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56.4</v>
      </c>
    </row>
    <row r="350" spans="1:16">
      <c r="A350" t="s">
        <v>397</v>
      </c>
      <c r="B350" s="2">
        <v>45780</v>
      </c>
      <c r="C350" t="s">
        <v>17</v>
      </c>
      <c r="D350" t="s">
        <v>32</v>
      </c>
      <c r="E350" t="s">
        <v>24</v>
      </c>
      <c r="F350" t="s">
        <v>25</v>
      </c>
      <c r="G350" t="s">
        <v>26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79.2</v>
      </c>
    </row>
    <row r="351" spans="1:16">
      <c r="A351" t="s">
        <v>398</v>
      </c>
      <c r="B351" s="2">
        <v>45700</v>
      </c>
      <c r="C351" t="s">
        <v>17</v>
      </c>
      <c r="D351" t="s">
        <v>28</v>
      </c>
      <c r="E351" t="s">
        <v>24</v>
      </c>
      <c r="F351" t="s">
        <v>29</v>
      </c>
      <c r="G351" t="s">
        <v>26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P351">
        <v>60.1</v>
      </c>
    </row>
    <row r="352" spans="1:16">
      <c r="A352" t="s">
        <v>399</v>
      </c>
      <c r="B352" s="2">
        <v>45713</v>
      </c>
      <c r="C352" t="s">
        <v>17</v>
      </c>
      <c r="D352" t="s">
        <v>32</v>
      </c>
      <c r="E352" t="s">
        <v>34</v>
      </c>
      <c r="F352" t="s">
        <v>25</v>
      </c>
      <c r="G352" t="s">
        <v>26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58</v>
      </c>
    </row>
    <row r="353" spans="1:16">
      <c r="A353" t="s">
        <v>400</v>
      </c>
      <c r="B353" s="2">
        <v>45761</v>
      </c>
      <c r="C353" t="s">
        <v>17</v>
      </c>
      <c r="D353" t="s">
        <v>32</v>
      </c>
      <c r="E353" t="s">
        <v>24</v>
      </c>
      <c r="F353" t="s">
        <v>39</v>
      </c>
      <c r="G353" t="s">
        <v>26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P353">
        <v>69</v>
      </c>
    </row>
    <row r="354" spans="1:16">
      <c r="A354" t="s">
        <v>401</v>
      </c>
      <c r="B354" s="2">
        <v>45665</v>
      </c>
      <c r="C354" t="s">
        <v>17</v>
      </c>
      <c r="D354" t="s">
        <v>18</v>
      </c>
      <c r="E354" t="s">
        <v>24</v>
      </c>
      <c r="F354" t="s">
        <v>39</v>
      </c>
      <c r="G354" t="s">
        <v>30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1</v>
      </c>
      <c r="N354">
        <v>0</v>
      </c>
      <c r="P354">
        <v>80.8</v>
      </c>
    </row>
    <row r="355" spans="1:16">
      <c r="A355" t="s">
        <v>402</v>
      </c>
      <c r="B355" s="2">
        <v>45730</v>
      </c>
      <c r="C355" t="s">
        <v>17</v>
      </c>
      <c r="D355" t="s">
        <v>28</v>
      </c>
      <c r="E355" t="s">
        <v>24</v>
      </c>
      <c r="F355" t="s">
        <v>20</v>
      </c>
      <c r="G355" t="s">
        <v>26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32.799999999999997</v>
      </c>
    </row>
    <row r="356" spans="1:16">
      <c r="A356" t="s">
        <v>403</v>
      </c>
      <c r="B356" s="2">
        <v>45776</v>
      </c>
      <c r="C356" t="s">
        <v>17</v>
      </c>
      <c r="D356" t="s">
        <v>18</v>
      </c>
      <c r="E356" t="s">
        <v>19</v>
      </c>
      <c r="F356" t="s">
        <v>29</v>
      </c>
      <c r="G356" t="s">
        <v>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56</v>
      </c>
    </row>
    <row r="357" spans="1:16">
      <c r="A357" t="s">
        <v>404</v>
      </c>
      <c r="B357" s="2">
        <v>45778</v>
      </c>
      <c r="C357" t="s">
        <v>17</v>
      </c>
      <c r="D357" t="s">
        <v>28</v>
      </c>
      <c r="E357" t="s">
        <v>19</v>
      </c>
      <c r="F357" t="s">
        <v>41</v>
      </c>
      <c r="G357" t="s">
        <v>26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76.400000000000006</v>
      </c>
    </row>
    <row r="358" spans="1:16">
      <c r="A358" t="s">
        <v>405</v>
      </c>
      <c r="B358" s="2">
        <v>45735</v>
      </c>
      <c r="C358" t="s">
        <v>17</v>
      </c>
      <c r="D358" t="s">
        <v>18</v>
      </c>
      <c r="E358" t="s">
        <v>24</v>
      </c>
      <c r="F358" t="s">
        <v>39</v>
      </c>
      <c r="G358" t="s">
        <v>26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28.5</v>
      </c>
    </row>
    <row r="359" spans="1:16">
      <c r="A359" t="s">
        <v>406</v>
      </c>
      <c r="B359" s="2">
        <v>45778</v>
      </c>
      <c r="C359" t="s">
        <v>17</v>
      </c>
      <c r="D359" t="s">
        <v>32</v>
      </c>
      <c r="E359" t="s">
        <v>19</v>
      </c>
      <c r="F359" t="s">
        <v>41</v>
      </c>
      <c r="G359" t="s">
        <v>21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48.3</v>
      </c>
    </row>
    <row r="360" spans="1:16">
      <c r="A360" t="s">
        <v>407</v>
      </c>
      <c r="B360" s="2">
        <v>45730</v>
      </c>
      <c r="C360" t="s">
        <v>17</v>
      </c>
      <c r="D360" t="s">
        <v>23</v>
      </c>
      <c r="E360" t="s">
        <v>24</v>
      </c>
      <c r="F360" t="s">
        <v>25</v>
      </c>
      <c r="G360" t="s">
        <v>26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43.4</v>
      </c>
    </row>
    <row r="361" spans="1:16">
      <c r="A361" t="s">
        <v>408</v>
      </c>
      <c r="B361" s="2">
        <v>45739</v>
      </c>
      <c r="C361" t="s">
        <v>17</v>
      </c>
      <c r="D361" t="s">
        <v>18</v>
      </c>
      <c r="E361" t="s">
        <v>24</v>
      </c>
      <c r="F361" t="s">
        <v>29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43</v>
      </c>
    </row>
    <row r="362" spans="1:16">
      <c r="A362" t="s">
        <v>409</v>
      </c>
      <c r="B362" s="2">
        <v>45696</v>
      </c>
      <c r="C362" t="s">
        <v>17</v>
      </c>
      <c r="D362" t="s">
        <v>28</v>
      </c>
      <c r="E362" t="s">
        <v>24</v>
      </c>
      <c r="F362" t="s">
        <v>39</v>
      </c>
      <c r="G362" t="s">
        <v>21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P362">
        <v>91.8</v>
      </c>
    </row>
    <row r="363" spans="1:16">
      <c r="A363" t="s">
        <v>410</v>
      </c>
      <c r="B363" s="2">
        <v>45762</v>
      </c>
      <c r="C363" t="s">
        <v>17</v>
      </c>
      <c r="D363" t="s">
        <v>23</v>
      </c>
      <c r="E363" t="s">
        <v>34</v>
      </c>
      <c r="F363" t="s">
        <v>29</v>
      </c>
      <c r="G363" t="s">
        <v>21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P363">
        <v>69.3</v>
      </c>
    </row>
    <row r="364" spans="1:16">
      <c r="A364" t="s">
        <v>411</v>
      </c>
      <c r="B364" s="2">
        <v>45660</v>
      </c>
      <c r="C364" t="s">
        <v>17</v>
      </c>
      <c r="D364" t="s">
        <v>32</v>
      </c>
      <c r="E364" t="s">
        <v>19</v>
      </c>
      <c r="F364" t="s">
        <v>29</v>
      </c>
      <c r="G364" t="s">
        <v>21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58.9</v>
      </c>
    </row>
    <row r="365" spans="1:16">
      <c r="A365" t="s">
        <v>412</v>
      </c>
      <c r="B365" s="2">
        <v>45739</v>
      </c>
      <c r="C365" t="s">
        <v>17</v>
      </c>
      <c r="D365" t="s">
        <v>23</v>
      </c>
      <c r="E365" t="s">
        <v>24</v>
      </c>
      <c r="F365" t="s">
        <v>41</v>
      </c>
      <c r="G365" t="s">
        <v>26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76</v>
      </c>
    </row>
    <row r="366" spans="1:16">
      <c r="A366" t="s">
        <v>413</v>
      </c>
      <c r="B366" s="2">
        <v>45804</v>
      </c>
      <c r="C366" t="s">
        <v>17</v>
      </c>
      <c r="D366" t="s">
        <v>32</v>
      </c>
      <c r="E366" t="s">
        <v>24</v>
      </c>
      <c r="F366" t="s">
        <v>39</v>
      </c>
      <c r="G366" t="s">
        <v>30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46</v>
      </c>
    </row>
    <row r="367" spans="1:16">
      <c r="A367" t="s">
        <v>414</v>
      </c>
      <c r="B367" s="2">
        <v>45777</v>
      </c>
      <c r="C367" t="s">
        <v>17</v>
      </c>
      <c r="D367" t="s">
        <v>28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54.1</v>
      </c>
    </row>
    <row r="368" spans="1:16">
      <c r="A368" t="s">
        <v>415</v>
      </c>
      <c r="B368" s="2">
        <v>45723</v>
      </c>
      <c r="C368" t="s">
        <v>17</v>
      </c>
      <c r="D368" t="s">
        <v>23</v>
      </c>
      <c r="E368" t="s">
        <v>24</v>
      </c>
      <c r="F368" t="s">
        <v>41</v>
      </c>
      <c r="G368" t="s">
        <v>21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82.4</v>
      </c>
    </row>
    <row r="369" spans="1:16">
      <c r="A369" t="s">
        <v>416</v>
      </c>
      <c r="B369" s="2">
        <v>45787</v>
      </c>
      <c r="C369" t="s">
        <v>17</v>
      </c>
      <c r="D369" t="s">
        <v>32</v>
      </c>
      <c r="E369" t="s">
        <v>24</v>
      </c>
      <c r="F369" t="s">
        <v>25</v>
      </c>
      <c r="G369" t="s">
        <v>21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P369">
        <v>71.900000000000006</v>
      </c>
    </row>
    <row r="370" spans="1:16">
      <c r="A370" t="s">
        <v>417</v>
      </c>
      <c r="B370" s="2">
        <v>45799</v>
      </c>
      <c r="C370" t="s">
        <v>17</v>
      </c>
      <c r="D370" t="s">
        <v>28</v>
      </c>
      <c r="E370" t="s">
        <v>24</v>
      </c>
      <c r="F370" t="s">
        <v>25</v>
      </c>
      <c r="G370" t="s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P370">
        <v>38</v>
      </c>
    </row>
    <row r="371" spans="1:16">
      <c r="A371" t="s">
        <v>418</v>
      </c>
      <c r="B371" s="2">
        <v>45697</v>
      </c>
      <c r="C371" t="s">
        <v>17</v>
      </c>
      <c r="D371" t="s">
        <v>28</v>
      </c>
      <c r="E371" t="s">
        <v>24</v>
      </c>
      <c r="F371" t="s">
        <v>29</v>
      </c>
      <c r="G371" t="s">
        <v>26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43.7</v>
      </c>
    </row>
    <row r="372" spans="1:16">
      <c r="A372" t="s">
        <v>419</v>
      </c>
      <c r="B372" s="2">
        <v>45807</v>
      </c>
      <c r="C372" t="s">
        <v>17</v>
      </c>
      <c r="D372" t="s">
        <v>23</v>
      </c>
      <c r="E372" t="s">
        <v>19</v>
      </c>
      <c r="F372" t="s">
        <v>25</v>
      </c>
      <c r="G372" t="s">
        <v>30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P372">
        <v>32.200000000000003</v>
      </c>
    </row>
    <row r="373" spans="1:16">
      <c r="A373" t="s">
        <v>420</v>
      </c>
      <c r="B373" s="2">
        <v>45778</v>
      </c>
      <c r="C373" t="s">
        <v>17</v>
      </c>
      <c r="D373" t="s">
        <v>32</v>
      </c>
      <c r="E373" t="s">
        <v>24</v>
      </c>
      <c r="F373" t="s">
        <v>25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61</v>
      </c>
    </row>
    <row r="374" spans="1:16">
      <c r="A374" t="s">
        <v>421</v>
      </c>
      <c r="B374" s="2">
        <v>45660</v>
      </c>
      <c r="C374" t="s">
        <v>17</v>
      </c>
      <c r="D374" t="s">
        <v>32</v>
      </c>
      <c r="E374" t="s">
        <v>24</v>
      </c>
      <c r="F374" t="s">
        <v>29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49</v>
      </c>
    </row>
    <row r="375" spans="1:16">
      <c r="A375" t="s">
        <v>422</v>
      </c>
      <c r="B375" s="2">
        <v>45701</v>
      </c>
      <c r="C375" t="s">
        <v>17</v>
      </c>
      <c r="D375" t="s">
        <v>28</v>
      </c>
      <c r="E375" t="s">
        <v>24</v>
      </c>
      <c r="F375" t="s">
        <v>25</v>
      </c>
      <c r="G375" t="s">
        <v>26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48.1</v>
      </c>
    </row>
    <row r="376" spans="1:16">
      <c r="A376" t="s">
        <v>423</v>
      </c>
      <c r="B376" s="2">
        <v>45671</v>
      </c>
      <c r="C376" t="s">
        <v>17</v>
      </c>
      <c r="D376" t="s">
        <v>32</v>
      </c>
      <c r="E376" t="s">
        <v>19</v>
      </c>
      <c r="F376" t="s">
        <v>25</v>
      </c>
      <c r="G376" t="s">
        <v>26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P376">
        <v>46.3</v>
      </c>
    </row>
    <row r="377" spans="1:16">
      <c r="A377" t="s">
        <v>424</v>
      </c>
      <c r="B377" s="2">
        <v>45712</v>
      </c>
      <c r="C377" t="s">
        <v>17</v>
      </c>
      <c r="D377" t="s">
        <v>18</v>
      </c>
      <c r="E377" t="s">
        <v>24</v>
      </c>
      <c r="F377" t="s">
        <v>39</v>
      </c>
      <c r="G377" t="s">
        <v>26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64</v>
      </c>
    </row>
    <row r="378" spans="1:16">
      <c r="A378" t="s">
        <v>425</v>
      </c>
      <c r="B378" s="2">
        <v>45793</v>
      </c>
      <c r="C378" t="s">
        <v>17</v>
      </c>
      <c r="D378" t="s">
        <v>23</v>
      </c>
      <c r="E378" t="s">
        <v>19</v>
      </c>
      <c r="F378" t="s">
        <v>25</v>
      </c>
      <c r="G378" t="s">
        <v>21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56.2</v>
      </c>
    </row>
    <row r="379" spans="1:16">
      <c r="A379" t="s">
        <v>426</v>
      </c>
      <c r="B379" s="2">
        <v>45776</v>
      </c>
      <c r="C379" t="s">
        <v>17</v>
      </c>
      <c r="D379" t="s">
        <v>18</v>
      </c>
      <c r="E379" t="s">
        <v>24</v>
      </c>
      <c r="F379" t="s">
        <v>29</v>
      </c>
      <c r="G379" t="s">
        <v>26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77.5</v>
      </c>
    </row>
    <row r="380" spans="1:16">
      <c r="A380" t="s">
        <v>427</v>
      </c>
      <c r="B380" s="2">
        <v>45777</v>
      </c>
      <c r="C380" t="s">
        <v>17</v>
      </c>
      <c r="D380" t="s">
        <v>32</v>
      </c>
      <c r="E380" t="s">
        <v>19</v>
      </c>
      <c r="F380" t="s">
        <v>20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59.9</v>
      </c>
    </row>
    <row r="381" spans="1:16">
      <c r="A381" t="s">
        <v>428</v>
      </c>
      <c r="B381" s="2">
        <v>45666</v>
      </c>
      <c r="C381" t="s">
        <v>17</v>
      </c>
      <c r="D381" t="s">
        <v>32</v>
      </c>
      <c r="E381" t="s">
        <v>19</v>
      </c>
      <c r="F381" t="s">
        <v>25</v>
      </c>
      <c r="G381" t="s">
        <v>26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63</v>
      </c>
    </row>
    <row r="382" spans="1:16">
      <c r="A382" t="s">
        <v>429</v>
      </c>
      <c r="B382" s="2">
        <v>45772</v>
      </c>
      <c r="C382" t="s">
        <v>17</v>
      </c>
      <c r="D382" t="s">
        <v>32</v>
      </c>
      <c r="E382" t="s">
        <v>24</v>
      </c>
      <c r="F382" t="s">
        <v>25</v>
      </c>
      <c r="G382" t="s">
        <v>26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76.5</v>
      </c>
    </row>
    <row r="383" spans="1:16">
      <c r="A383" t="s">
        <v>430</v>
      </c>
      <c r="B383" s="2">
        <v>45728</v>
      </c>
      <c r="C383" t="s">
        <v>17</v>
      </c>
      <c r="D383" t="s">
        <v>18</v>
      </c>
      <c r="E383" t="s">
        <v>19</v>
      </c>
      <c r="F383" t="s">
        <v>29</v>
      </c>
      <c r="G383" t="s">
        <v>26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39.700000000000003</v>
      </c>
    </row>
    <row r="384" spans="1:16">
      <c r="A384" t="s">
        <v>431</v>
      </c>
      <c r="B384" s="2">
        <v>45736</v>
      </c>
      <c r="C384" t="s">
        <v>17</v>
      </c>
      <c r="D384" t="s">
        <v>18</v>
      </c>
      <c r="E384" t="s">
        <v>24</v>
      </c>
      <c r="F384" t="s">
        <v>25</v>
      </c>
      <c r="G384" t="s">
        <v>26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80.2</v>
      </c>
    </row>
    <row r="385" spans="1:16">
      <c r="A385" t="s">
        <v>432</v>
      </c>
      <c r="B385" s="2">
        <v>45706</v>
      </c>
      <c r="C385" t="s">
        <v>17</v>
      </c>
      <c r="D385" t="s">
        <v>23</v>
      </c>
      <c r="E385" t="s">
        <v>24</v>
      </c>
      <c r="F385" t="s">
        <v>29</v>
      </c>
      <c r="G385" t="s">
        <v>26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72.2</v>
      </c>
    </row>
    <row r="386" spans="1:16">
      <c r="A386" t="s">
        <v>433</v>
      </c>
      <c r="B386" s="2">
        <v>45679</v>
      </c>
      <c r="C386" t="s">
        <v>17</v>
      </c>
      <c r="D386" t="s">
        <v>18</v>
      </c>
      <c r="E386" t="s">
        <v>24</v>
      </c>
      <c r="F386" t="s">
        <v>41</v>
      </c>
      <c r="G386" t="s">
        <v>21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56</v>
      </c>
    </row>
    <row r="387" spans="1:16">
      <c r="A387" t="s">
        <v>434</v>
      </c>
      <c r="B387" s="2">
        <v>45696</v>
      </c>
      <c r="C387" t="s">
        <v>17</v>
      </c>
      <c r="D387" t="s">
        <v>23</v>
      </c>
      <c r="E387" t="s">
        <v>24</v>
      </c>
      <c r="F387" t="s">
        <v>20</v>
      </c>
      <c r="G387" t="s">
        <v>21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P387">
        <v>69.099999999999994</v>
      </c>
    </row>
    <row r="388" spans="1:16">
      <c r="A388" t="s">
        <v>435</v>
      </c>
      <c r="B388" s="2">
        <v>45677</v>
      </c>
      <c r="C388" t="s">
        <v>17</v>
      </c>
      <c r="D388" t="s">
        <v>18</v>
      </c>
      <c r="E388" t="s">
        <v>24</v>
      </c>
      <c r="F388" t="s">
        <v>20</v>
      </c>
      <c r="G388" t="s">
        <v>30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P388">
        <v>70.599999999999994</v>
      </c>
    </row>
    <row r="389" spans="1:16">
      <c r="A389" t="s">
        <v>436</v>
      </c>
      <c r="B389" s="2">
        <v>45769</v>
      </c>
      <c r="C389" t="s">
        <v>17</v>
      </c>
      <c r="D389" t="s">
        <v>23</v>
      </c>
      <c r="E389" t="s">
        <v>19</v>
      </c>
      <c r="F389" t="s">
        <v>39</v>
      </c>
      <c r="G389" t="s">
        <v>26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57.9</v>
      </c>
    </row>
    <row r="390" spans="1:16">
      <c r="A390" t="s">
        <v>437</v>
      </c>
      <c r="B390" s="2">
        <v>45679</v>
      </c>
      <c r="C390" t="s">
        <v>17</v>
      </c>
      <c r="D390" t="s">
        <v>28</v>
      </c>
      <c r="E390" t="s">
        <v>24</v>
      </c>
      <c r="F390" t="s">
        <v>25</v>
      </c>
      <c r="G390" t="s">
        <v>21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41.4</v>
      </c>
    </row>
    <row r="391" spans="1:16">
      <c r="A391" t="s">
        <v>438</v>
      </c>
      <c r="B391" s="2">
        <v>45788</v>
      </c>
      <c r="C391" t="s">
        <v>17</v>
      </c>
      <c r="D391" t="s">
        <v>23</v>
      </c>
      <c r="E391" t="s">
        <v>24</v>
      </c>
      <c r="F391" t="s">
        <v>25</v>
      </c>
      <c r="G391" t="s">
        <v>21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60.9</v>
      </c>
    </row>
    <row r="392" spans="1:16">
      <c r="A392" t="s">
        <v>439</v>
      </c>
      <c r="B392" s="2">
        <v>45694</v>
      </c>
      <c r="C392" t="s">
        <v>17</v>
      </c>
      <c r="D392" t="s">
        <v>32</v>
      </c>
      <c r="E392" t="s">
        <v>24</v>
      </c>
      <c r="F392" t="s">
        <v>25</v>
      </c>
      <c r="G392" t="s">
        <v>21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P392">
        <v>63.8</v>
      </c>
    </row>
    <row r="393" spans="1:16">
      <c r="A393" t="s">
        <v>440</v>
      </c>
      <c r="B393" s="2">
        <v>45709</v>
      </c>
      <c r="C393" t="s">
        <v>17</v>
      </c>
      <c r="D393" t="s">
        <v>18</v>
      </c>
      <c r="E393" t="s">
        <v>19</v>
      </c>
      <c r="F393" t="s">
        <v>25</v>
      </c>
      <c r="G393" t="s">
        <v>30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79.2</v>
      </c>
    </row>
    <row r="394" spans="1:16">
      <c r="A394" t="s">
        <v>441</v>
      </c>
      <c r="B394" s="2">
        <v>45670</v>
      </c>
      <c r="C394" t="s">
        <v>17</v>
      </c>
      <c r="D394" t="s">
        <v>23</v>
      </c>
      <c r="E394" t="s">
        <v>24</v>
      </c>
      <c r="F394" t="s">
        <v>20</v>
      </c>
      <c r="G394" t="s">
        <v>30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P394">
        <v>53.3</v>
      </c>
    </row>
    <row r="395" spans="1:16">
      <c r="A395" t="s">
        <v>443</v>
      </c>
      <c r="B395" s="2">
        <v>45714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62.4</v>
      </c>
    </row>
    <row r="396" spans="1:16">
      <c r="A396" t="s">
        <v>444</v>
      </c>
      <c r="B396" s="2">
        <v>45782</v>
      </c>
      <c r="C396" t="s">
        <v>17</v>
      </c>
      <c r="D396" t="s">
        <v>18</v>
      </c>
      <c r="E396" t="s">
        <v>24</v>
      </c>
      <c r="F396" t="s">
        <v>39</v>
      </c>
      <c r="G396" t="s">
        <v>30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45.5</v>
      </c>
    </row>
    <row r="397" spans="1:16">
      <c r="A397" t="s">
        <v>445</v>
      </c>
      <c r="B397" s="2">
        <v>45665</v>
      </c>
      <c r="C397" t="s">
        <v>17</v>
      </c>
      <c r="D397" t="s">
        <v>28</v>
      </c>
      <c r="E397" t="s">
        <v>19</v>
      </c>
      <c r="F397" t="s">
        <v>25</v>
      </c>
      <c r="G397" t="s">
        <v>21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P397">
        <v>72.599999999999994</v>
      </c>
    </row>
    <row r="398" spans="1:16">
      <c r="A398" t="s">
        <v>446</v>
      </c>
      <c r="B398" s="2">
        <v>45735</v>
      </c>
      <c r="C398" t="s">
        <v>17</v>
      </c>
      <c r="D398" t="s">
        <v>32</v>
      </c>
      <c r="E398" t="s">
        <v>24</v>
      </c>
      <c r="F398" t="s">
        <v>20</v>
      </c>
      <c r="G398" t="s">
        <v>30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P398">
        <v>50.1</v>
      </c>
    </row>
    <row r="399" spans="1:16">
      <c r="A399" t="s">
        <v>447</v>
      </c>
      <c r="B399" s="2">
        <v>45687</v>
      </c>
      <c r="C399" t="s">
        <v>17</v>
      </c>
      <c r="D399" t="s">
        <v>28</v>
      </c>
      <c r="E399" t="s">
        <v>19</v>
      </c>
      <c r="F399" t="s">
        <v>29</v>
      </c>
      <c r="G399" t="s">
        <v>26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2</v>
      </c>
      <c r="N399">
        <v>0</v>
      </c>
      <c r="P399">
        <v>58.1</v>
      </c>
    </row>
    <row r="400" spans="1:16">
      <c r="A400" t="s">
        <v>448</v>
      </c>
      <c r="B400" s="2">
        <v>45775</v>
      </c>
      <c r="C400" t="s">
        <v>17</v>
      </c>
      <c r="D400" t="s">
        <v>28</v>
      </c>
      <c r="E400" t="s">
        <v>24</v>
      </c>
      <c r="F400" t="s">
        <v>25</v>
      </c>
      <c r="G400" t="s">
        <v>21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42.9</v>
      </c>
    </row>
    <row r="401" spans="1:16">
      <c r="A401" t="s">
        <v>449</v>
      </c>
      <c r="B401" s="2">
        <v>45723</v>
      </c>
      <c r="C401" t="s">
        <v>17</v>
      </c>
      <c r="D401" t="s">
        <v>18</v>
      </c>
      <c r="E401" t="s">
        <v>24</v>
      </c>
      <c r="F401" t="s">
        <v>39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69.7</v>
      </c>
    </row>
    <row r="402" spans="1:16">
      <c r="A402" t="s">
        <v>450</v>
      </c>
      <c r="B402" s="2">
        <v>45754</v>
      </c>
      <c r="C402" t="s">
        <v>17</v>
      </c>
      <c r="D402" t="s">
        <v>18</v>
      </c>
      <c r="E402" t="s">
        <v>19</v>
      </c>
      <c r="F402" t="s">
        <v>25</v>
      </c>
      <c r="G402" t="s">
        <v>26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63.3</v>
      </c>
    </row>
    <row r="403" spans="1:16">
      <c r="A403" t="s">
        <v>451</v>
      </c>
      <c r="B403" s="2">
        <v>45785</v>
      </c>
      <c r="C403" t="s">
        <v>17</v>
      </c>
      <c r="D403" t="s">
        <v>18</v>
      </c>
      <c r="E403" t="s">
        <v>19</v>
      </c>
      <c r="F403" t="s">
        <v>25</v>
      </c>
      <c r="G403" t="s">
        <v>30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71.2</v>
      </c>
    </row>
    <row r="404" spans="1:16">
      <c r="A404" t="s">
        <v>452</v>
      </c>
      <c r="B404" s="2">
        <v>45762</v>
      </c>
      <c r="C404" t="s">
        <v>17</v>
      </c>
      <c r="D404" t="s">
        <v>32</v>
      </c>
      <c r="E404" t="s">
        <v>24</v>
      </c>
      <c r="F404" t="s">
        <v>20</v>
      </c>
      <c r="G404" t="s">
        <v>26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39.1</v>
      </c>
    </row>
    <row r="405" spans="1:16">
      <c r="A405" t="s">
        <v>453</v>
      </c>
      <c r="B405" s="2">
        <v>45767</v>
      </c>
      <c r="C405" t="s">
        <v>17</v>
      </c>
      <c r="D405" t="s">
        <v>28</v>
      </c>
      <c r="E405" t="s">
        <v>19</v>
      </c>
      <c r="F405" t="s">
        <v>41</v>
      </c>
      <c r="G405" t="s">
        <v>26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42.6</v>
      </c>
    </row>
    <row r="406" spans="1:16">
      <c r="A406" t="s">
        <v>454</v>
      </c>
      <c r="B406" s="2">
        <v>45807</v>
      </c>
      <c r="C406" t="s">
        <v>17</v>
      </c>
      <c r="D406" t="s">
        <v>32</v>
      </c>
      <c r="E406" t="s">
        <v>34</v>
      </c>
      <c r="F406" t="s">
        <v>25</v>
      </c>
      <c r="G406" t="s">
        <v>26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74.400000000000006</v>
      </c>
    </row>
    <row r="407" spans="1:16">
      <c r="A407" t="s">
        <v>455</v>
      </c>
      <c r="B407" s="2">
        <v>45701</v>
      </c>
      <c r="C407" t="s">
        <v>17</v>
      </c>
      <c r="D407" t="s">
        <v>23</v>
      </c>
      <c r="E407" t="s">
        <v>24</v>
      </c>
      <c r="F407" t="s">
        <v>39</v>
      </c>
      <c r="G407" t="s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55.6</v>
      </c>
    </row>
    <row r="408" spans="1:16">
      <c r="A408" t="s">
        <v>456</v>
      </c>
      <c r="B408" s="2">
        <v>45775</v>
      </c>
      <c r="C408" t="s">
        <v>17</v>
      </c>
      <c r="D408" t="s">
        <v>23</v>
      </c>
      <c r="E408" t="s">
        <v>24</v>
      </c>
      <c r="F408" t="s">
        <v>41</v>
      </c>
      <c r="G408" t="s">
        <v>26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35.799999999999997</v>
      </c>
    </row>
    <row r="409" spans="1:16">
      <c r="A409" t="s">
        <v>457</v>
      </c>
      <c r="B409" s="2">
        <v>45700</v>
      </c>
      <c r="C409" t="s">
        <v>17</v>
      </c>
      <c r="D409" t="s">
        <v>18</v>
      </c>
      <c r="E409" t="s">
        <v>24</v>
      </c>
      <c r="F409" t="s">
        <v>29</v>
      </c>
      <c r="G409" t="s">
        <v>21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28.2</v>
      </c>
    </row>
    <row r="410" spans="1:16">
      <c r="A410" t="s">
        <v>458</v>
      </c>
      <c r="B410" s="2">
        <v>45700</v>
      </c>
      <c r="C410" t="s">
        <v>17</v>
      </c>
      <c r="D410" t="s">
        <v>28</v>
      </c>
      <c r="E410" t="s">
        <v>24</v>
      </c>
      <c r="F410" t="s">
        <v>25</v>
      </c>
      <c r="G410" t="s">
        <v>26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P410">
        <v>44.4</v>
      </c>
    </row>
    <row r="411" spans="1:16">
      <c r="A411" t="s">
        <v>459</v>
      </c>
      <c r="B411" s="2">
        <v>45743</v>
      </c>
      <c r="C411" t="s">
        <v>17</v>
      </c>
      <c r="D411" t="s">
        <v>18</v>
      </c>
      <c r="E411" t="s">
        <v>24</v>
      </c>
      <c r="F411" t="s">
        <v>20</v>
      </c>
      <c r="G411" t="s">
        <v>30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49.9</v>
      </c>
    </row>
    <row r="412" spans="1:16">
      <c r="A412" t="s">
        <v>460</v>
      </c>
      <c r="B412" s="2">
        <v>45759</v>
      </c>
      <c r="C412" t="s">
        <v>17</v>
      </c>
      <c r="D412" t="s">
        <v>32</v>
      </c>
      <c r="E412" t="s">
        <v>19</v>
      </c>
      <c r="F412" t="s">
        <v>25</v>
      </c>
      <c r="G412" t="s">
        <v>26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40.4</v>
      </c>
    </row>
    <row r="413" spans="1:16">
      <c r="A413" t="s">
        <v>461</v>
      </c>
      <c r="B413" s="2">
        <v>45687</v>
      </c>
      <c r="C413" t="s">
        <v>17</v>
      </c>
      <c r="D413" t="s">
        <v>23</v>
      </c>
      <c r="E413" t="s">
        <v>24</v>
      </c>
      <c r="F413" t="s">
        <v>41</v>
      </c>
      <c r="G413" t="s">
        <v>26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60.4</v>
      </c>
    </row>
    <row r="414" spans="1:16">
      <c r="A414" t="s">
        <v>462</v>
      </c>
      <c r="B414" s="2">
        <v>45805</v>
      </c>
      <c r="C414" t="s">
        <v>17</v>
      </c>
      <c r="D414" t="s">
        <v>23</v>
      </c>
      <c r="E414" t="s">
        <v>24</v>
      </c>
      <c r="F414" t="s">
        <v>41</v>
      </c>
      <c r="G414" t="s">
        <v>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P414">
        <v>52.4</v>
      </c>
    </row>
    <row r="415" spans="1:16">
      <c r="A415" t="s">
        <v>463</v>
      </c>
      <c r="B415" s="2">
        <v>45778</v>
      </c>
      <c r="C415" t="s">
        <v>17</v>
      </c>
      <c r="D415" t="s">
        <v>32</v>
      </c>
      <c r="E415" t="s">
        <v>24</v>
      </c>
      <c r="F415" t="s">
        <v>25</v>
      </c>
      <c r="G415" t="s">
        <v>21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48.8</v>
      </c>
    </row>
    <row r="416" spans="1:16">
      <c r="A416" t="s">
        <v>464</v>
      </c>
      <c r="B416" s="2">
        <v>45691</v>
      </c>
      <c r="C416" t="s">
        <v>17</v>
      </c>
      <c r="D416" t="s">
        <v>18</v>
      </c>
      <c r="E416" t="s">
        <v>34</v>
      </c>
      <c r="F416" t="s">
        <v>20</v>
      </c>
      <c r="G416" t="s">
        <v>21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60.9</v>
      </c>
    </row>
    <row r="417" spans="1:16">
      <c r="A417" t="s">
        <v>465</v>
      </c>
      <c r="B417" s="2">
        <v>45667</v>
      </c>
      <c r="C417" t="s">
        <v>17</v>
      </c>
      <c r="D417" t="s">
        <v>32</v>
      </c>
      <c r="E417" t="s">
        <v>19</v>
      </c>
      <c r="F417" t="s">
        <v>41</v>
      </c>
      <c r="G417" t="s">
        <v>21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68.2</v>
      </c>
    </row>
    <row r="418" spans="1:16">
      <c r="A418" t="s">
        <v>466</v>
      </c>
      <c r="B418" s="2">
        <v>45779</v>
      </c>
      <c r="C418" t="s">
        <v>17</v>
      </c>
      <c r="D418" t="s">
        <v>18</v>
      </c>
      <c r="E418" t="s">
        <v>19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65.599999999999994</v>
      </c>
    </row>
    <row r="419" spans="1:16">
      <c r="A419" t="s">
        <v>467</v>
      </c>
      <c r="B419" s="2">
        <v>45803</v>
      </c>
      <c r="C419" t="s">
        <v>17</v>
      </c>
      <c r="D419" t="s">
        <v>18</v>
      </c>
      <c r="E419" t="s">
        <v>19</v>
      </c>
      <c r="F419" t="s">
        <v>25</v>
      </c>
      <c r="G419" t="s">
        <v>21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65.400000000000006</v>
      </c>
    </row>
    <row r="420" spans="1:16">
      <c r="A420" t="s">
        <v>468</v>
      </c>
      <c r="B420" s="2">
        <v>45669</v>
      </c>
      <c r="C420" t="s">
        <v>17</v>
      </c>
      <c r="D420" t="s">
        <v>23</v>
      </c>
      <c r="E420" t="s">
        <v>24</v>
      </c>
      <c r="F420" t="s">
        <v>25</v>
      </c>
      <c r="G420" t="s">
        <v>21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78.900000000000006</v>
      </c>
    </row>
    <row r="421" spans="1:16">
      <c r="A421" t="s">
        <v>469</v>
      </c>
      <c r="B421" s="2">
        <v>45804</v>
      </c>
      <c r="C421" t="s">
        <v>17</v>
      </c>
      <c r="D421" t="s">
        <v>28</v>
      </c>
      <c r="E421" t="s">
        <v>24</v>
      </c>
      <c r="F421" t="s">
        <v>29</v>
      </c>
      <c r="G421" t="s">
        <v>21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P421">
        <v>78.3</v>
      </c>
    </row>
    <row r="422" spans="1:16">
      <c r="A422" t="s">
        <v>470</v>
      </c>
      <c r="B422" s="2">
        <v>45799</v>
      </c>
      <c r="C422" t="s">
        <v>17</v>
      </c>
      <c r="D422" t="s">
        <v>23</v>
      </c>
      <c r="E422" t="s">
        <v>19</v>
      </c>
      <c r="F422" t="s">
        <v>20</v>
      </c>
      <c r="G422" t="s">
        <v>21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49.2</v>
      </c>
    </row>
    <row r="423" spans="1:16">
      <c r="A423" t="s">
        <v>472</v>
      </c>
      <c r="B423" s="2">
        <v>45679</v>
      </c>
      <c r="C423" t="s">
        <v>17</v>
      </c>
      <c r="D423" t="s">
        <v>18</v>
      </c>
      <c r="E423" t="s">
        <v>24</v>
      </c>
      <c r="F423" t="s">
        <v>29</v>
      </c>
      <c r="G423" t="s">
        <v>21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P423">
        <v>46.3</v>
      </c>
    </row>
    <row r="424" spans="1:16">
      <c r="A424" t="s">
        <v>473</v>
      </c>
      <c r="B424" s="2">
        <v>45801</v>
      </c>
      <c r="C424" t="s">
        <v>17</v>
      </c>
      <c r="D424" t="s">
        <v>28</v>
      </c>
      <c r="E424" t="s">
        <v>24</v>
      </c>
      <c r="F424" t="s">
        <v>29</v>
      </c>
      <c r="G424" t="s">
        <v>21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55.7</v>
      </c>
    </row>
    <row r="425" spans="1:16">
      <c r="A425" t="s">
        <v>474</v>
      </c>
      <c r="B425" s="2">
        <v>45772</v>
      </c>
      <c r="C425" t="s">
        <v>17</v>
      </c>
      <c r="D425" t="s">
        <v>32</v>
      </c>
      <c r="E425" t="s">
        <v>24</v>
      </c>
      <c r="F425" t="s">
        <v>41</v>
      </c>
      <c r="G425" t="s">
        <v>26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44.5</v>
      </c>
    </row>
    <row r="426" spans="1:16">
      <c r="A426" t="s">
        <v>475</v>
      </c>
      <c r="B426" s="2">
        <v>45759</v>
      </c>
      <c r="C426" t="s">
        <v>17</v>
      </c>
      <c r="D426" t="s">
        <v>23</v>
      </c>
      <c r="E426" t="s">
        <v>19</v>
      </c>
      <c r="F426" t="s">
        <v>39</v>
      </c>
      <c r="G426" t="s">
        <v>26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P426">
        <v>47.9</v>
      </c>
    </row>
    <row r="427" spans="1:16">
      <c r="A427" t="s">
        <v>476</v>
      </c>
      <c r="B427" s="2">
        <v>45770</v>
      </c>
      <c r="C427" t="s">
        <v>17</v>
      </c>
      <c r="D427" t="s">
        <v>32</v>
      </c>
      <c r="E427" t="s">
        <v>24</v>
      </c>
      <c r="F427" t="s">
        <v>25</v>
      </c>
      <c r="G427" t="s">
        <v>30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43.9</v>
      </c>
    </row>
    <row r="428" spans="1:16">
      <c r="A428" t="s">
        <v>477</v>
      </c>
      <c r="B428" s="2">
        <v>45746</v>
      </c>
      <c r="C428" t="s">
        <v>17</v>
      </c>
      <c r="D428" t="s">
        <v>18</v>
      </c>
      <c r="E428" t="s">
        <v>19</v>
      </c>
      <c r="F428" t="s">
        <v>39</v>
      </c>
      <c r="G428" t="s">
        <v>26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0</v>
      </c>
      <c r="P428">
        <v>67.7</v>
      </c>
    </row>
    <row r="429" spans="1:16">
      <c r="A429" t="s">
        <v>478</v>
      </c>
      <c r="B429" s="2">
        <v>45675</v>
      </c>
      <c r="C429" t="s">
        <v>17</v>
      </c>
      <c r="D429" t="s">
        <v>28</v>
      </c>
      <c r="E429" t="s">
        <v>24</v>
      </c>
      <c r="F429" t="s">
        <v>39</v>
      </c>
      <c r="G429" t="s">
        <v>21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43.7</v>
      </c>
    </row>
    <row r="430" spans="1:16">
      <c r="A430" t="s">
        <v>479</v>
      </c>
      <c r="B430" s="2">
        <v>45756</v>
      </c>
      <c r="C430" t="s">
        <v>17</v>
      </c>
      <c r="D430" t="s">
        <v>28</v>
      </c>
      <c r="E430" t="s">
        <v>24</v>
      </c>
      <c r="F430" t="s">
        <v>25</v>
      </c>
      <c r="G430" t="s">
        <v>26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68.8</v>
      </c>
    </row>
    <row r="431" spans="1:16">
      <c r="A431" t="s">
        <v>480</v>
      </c>
      <c r="B431" s="2">
        <v>45668</v>
      </c>
      <c r="C431" t="s">
        <v>17</v>
      </c>
      <c r="D431" t="s">
        <v>23</v>
      </c>
      <c r="E431" t="s">
        <v>24</v>
      </c>
      <c r="F431" t="s">
        <v>25</v>
      </c>
      <c r="G431" t="s">
        <v>26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P431">
        <v>59.2</v>
      </c>
    </row>
    <row r="432" spans="1:16">
      <c r="A432" t="s">
        <v>481</v>
      </c>
      <c r="B432" s="2">
        <v>45721</v>
      </c>
      <c r="C432" t="s">
        <v>17</v>
      </c>
      <c r="D432" t="s">
        <v>28</v>
      </c>
      <c r="E432" t="s">
        <v>24</v>
      </c>
      <c r="F432" t="s">
        <v>29</v>
      </c>
      <c r="G432" t="s">
        <v>26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48.6</v>
      </c>
    </row>
    <row r="433" spans="1:16">
      <c r="A433" t="s">
        <v>482</v>
      </c>
      <c r="B433" s="2">
        <v>45705</v>
      </c>
      <c r="C433" t="s">
        <v>17</v>
      </c>
      <c r="D433" t="s">
        <v>18</v>
      </c>
      <c r="E433" t="s">
        <v>34</v>
      </c>
      <c r="F433" t="s">
        <v>41</v>
      </c>
      <c r="G433" t="s">
        <v>26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P433">
        <v>56.9</v>
      </c>
    </row>
    <row r="434" spans="1:16">
      <c r="A434" t="s">
        <v>483</v>
      </c>
      <c r="B434" s="2">
        <v>45784</v>
      </c>
      <c r="C434" t="s">
        <v>17</v>
      </c>
      <c r="D434" t="s">
        <v>18</v>
      </c>
      <c r="E434" t="s">
        <v>19</v>
      </c>
      <c r="F434" t="s">
        <v>29</v>
      </c>
      <c r="G434" t="s">
        <v>26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55.8</v>
      </c>
    </row>
    <row r="435" spans="1:16">
      <c r="A435" t="s">
        <v>484</v>
      </c>
      <c r="B435" s="2">
        <v>45757</v>
      </c>
      <c r="C435" t="s">
        <v>17</v>
      </c>
      <c r="D435" t="s">
        <v>28</v>
      </c>
      <c r="E435" t="s">
        <v>24</v>
      </c>
      <c r="F435" t="s">
        <v>29</v>
      </c>
      <c r="G435" t="s">
        <v>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63.3</v>
      </c>
    </row>
    <row r="436" spans="1:16">
      <c r="A436" t="s">
        <v>485</v>
      </c>
      <c r="B436" s="2">
        <v>45768</v>
      </c>
      <c r="C436" t="s">
        <v>17</v>
      </c>
      <c r="D436" t="s">
        <v>18</v>
      </c>
      <c r="E436" t="s">
        <v>24</v>
      </c>
      <c r="F436" t="s">
        <v>41</v>
      </c>
      <c r="G436" t="s">
        <v>26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52.2</v>
      </c>
    </row>
    <row r="437" spans="1:16">
      <c r="A437" t="s">
        <v>486</v>
      </c>
      <c r="B437" s="2">
        <v>45713</v>
      </c>
      <c r="C437" t="s">
        <v>17</v>
      </c>
      <c r="D437" t="s">
        <v>32</v>
      </c>
      <c r="E437" t="s">
        <v>34</v>
      </c>
      <c r="G437" t="s">
        <v>26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51.5</v>
      </c>
    </row>
    <row r="438" spans="1:16">
      <c r="A438" t="s">
        <v>487</v>
      </c>
      <c r="B438" s="2">
        <v>45791</v>
      </c>
      <c r="C438" t="s">
        <v>17</v>
      </c>
      <c r="D438" t="s">
        <v>28</v>
      </c>
      <c r="E438" t="s">
        <v>19</v>
      </c>
      <c r="F438" t="s">
        <v>25</v>
      </c>
      <c r="G438" t="s">
        <v>26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50.3</v>
      </c>
    </row>
    <row r="439" spans="1:16">
      <c r="A439" t="s">
        <v>488</v>
      </c>
      <c r="B439" s="2">
        <v>45726</v>
      </c>
      <c r="C439" t="s">
        <v>17</v>
      </c>
      <c r="D439" t="s">
        <v>18</v>
      </c>
      <c r="E439" t="s">
        <v>24</v>
      </c>
      <c r="F439" t="s">
        <v>20</v>
      </c>
      <c r="G439" t="s">
        <v>21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P439">
        <v>35.4</v>
      </c>
    </row>
    <row r="440" spans="1:16">
      <c r="A440" t="s">
        <v>489</v>
      </c>
      <c r="B440" s="2">
        <v>45688</v>
      </c>
      <c r="C440" t="s">
        <v>17</v>
      </c>
      <c r="D440" t="s">
        <v>23</v>
      </c>
      <c r="E440" t="s">
        <v>19</v>
      </c>
      <c r="F440" t="s">
        <v>25</v>
      </c>
      <c r="G440" t="s">
        <v>30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P440">
        <v>54.1</v>
      </c>
    </row>
    <row r="441" spans="1:16">
      <c r="A441" t="s">
        <v>490</v>
      </c>
      <c r="B441" s="2">
        <v>45674</v>
      </c>
      <c r="C441" t="s">
        <v>17</v>
      </c>
      <c r="D441" t="s">
        <v>32</v>
      </c>
      <c r="E441" t="s">
        <v>24</v>
      </c>
      <c r="F441" t="s">
        <v>25</v>
      </c>
      <c r="G441" t="s">
        <v>30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56.2</v>
      </c>
    </row>
    <row r="442" spans="1:16">
      <c r="A442" t="s">
        <v>491</v>
      </c>
      <c r="B442" s="2">
        <v>45728</v>
      </c>
      <c r="C442" t="s">
        <v>17</v>
      </c>
      <c r="D442" t="s">
        <v>32</v>
      </c>
      <c r="E442" t="s">
        <v>24</v>
      </c>
      <c r="F442" t="s">
        <v>29</v>
      </c>
      <c r="G442" t="s">
        <v>26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0</v>
      </c>
      <c r="P442">
        <v>43.7</v>
      </c>
    </row>
    <row r="443" spans="1:16">
      <c r="A443" t="s">
        <v>492</v>
      </c>
      <c r="B443" s="2">
        <v>45716</v>
      </c>
      <c r="C443" t="s">
        <v>17</v>
      </c>
      <c r="D443" t="s">
        <v>23</v>
      </c>
      <c r="E443" t="s">
        <v>19</v>
      </c>
      <c r="F443" t="s">
        <v>25</v>
      </c>
      <c r="G443" t="s">
        <v>30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51.3</v>
      </c>
    </row>
    <row r="444" spans="1:16">
      <c r="A444" t="s">
        <v>493</v>
      </c>
      <c r="B444" s="2">
        <v>45796</v>
      </c>
      <c r="C444" t="s">
        <v>17</v>
      </c>
      <c r="D444" t="s">
        <v>18</v>
      </c>
      <c r="F444" t="s">
        <v>25</v>
      </c>
      <c r="G444" t="s">
        <v>21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50.5</v>
      </c>
    </row>
    <row r="445" spans="1:16">
      <c r="A445" t="s">
        <v>494</v>
      </c>
      <c r="B445" s="2">
        <v>45711</v>
      </c>
      <c r="C445" t="s">
        <v>17</v>
      </c>
      <c r="D445" t="s">
        <v>18</v>
      </c>
      <c r="E445" t="s">
        <v>24</v>
      </c>
      <c r="F445" t="s">
        <v>39</v>
      </c>
      <c r="G445" t="s">
        <v>21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57.3</v>
      </c>
    </row>
    <row r="446" spans="1:16">
      <c r="A446" t="s">
        <v>495</v>
      </c>
      <c r="B446" s="2">
        <v>45708</v>
      </c>
      <c r="C446" t="s">
        <v>17</v>
      </c>
      <c r="D446" t="s">
        <v>23</v>
      </c>
      <c r="E446" t="s">
        <v>19</v>
      </c>
      <c r="F446" t="s">
        <v>25</v>
      </c>
      <c r="G446" t="s">
        <v>26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P446">
        <v>58.4</v>
      </c>
    </row>
    <row r="447" spans="1:16">
      <c r="A447" t="s">
        <v>496</v>
      </c>
      <c r="B447" s="2">
        <v>45759</v>
      </c>
      <c r="C447" t="s">
        <v>17</v>
      </c>
      <c r="D447" t="s">
        <v>18</v>
      </c>
      <c r="E447" t="s">
        <v>24</v>
      </c>
      <c r="G447" t="s">
        <v>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56.5</v>
      </c>
    </row>
    <row r="448" spans="1:16">
      <c r="A448" t="s">
        <v>497</v>
      </c>
      <c r="B448" s="2">
        <v>45665</v>
      </c>
      <c r="C448" t="s">
        <v>17</v>
      </c>
      <c r="D448" t="s">
        <v>23</v>
      </c>
      <c r="E448" t="s">
        <v>24</v>
      </c>
      <c r="F448" t="s">
        <v>20</v>
      </c>
      <c r="G448" t="s">
        <v>26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69.599999999999994</v>
      </c>
    </row>
    <row r="449" spans="1:16">
      <c r="A449" t="s">
        <v>498</v>
      </c>
      <c r="B449" s="2">
        <v>45701</v>
      </c>
      <c r="C449" t="s">
        <v>17</v>
      </c>
      <c r="D449" t="s">
        <v>23</v>
      </c>
      <c r="E449" t="s">
        <v>24</v>
      </c>
      <c r="F449" t="s">
        <v>25</v>
      </c>
      <c r="G449" t="s">
        <v>21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6.2</v>
      </c>
    </row>
    <row r="450" spans="1:16">
      <c r="A450" t="s">
        <v>499</v>
      </c>
      <c r="B450" s="2">
        <v>45798</v>
      </c>
      <c r="C450" t="s">
        <v>17</v>
      </c>
      <c r="D450" t="s">
        <v>28</v>
      </c>
      <c r="E450" t="s">
        <v>19</v>
      </c>
      <c r="F450" t="s">
        <v>20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54.3</v>
      </c>
    </row>
    <row r="451" spans="1:16">
      <c r="A451" t="s">
        <v>500</v>
      </c>
      <c r="B451" s="2">
        <v>45807</v>
      </c>
      <c r="C451" t="s">
        <v>17</v>
      </c>
      <c r="D451" t="s">
        <v>18</v>
      </c>
      <c r="E451" t="s">
        <v>24</v>
      </c>
      <c r="F451" t="s">
        <v>25</v>
      </c>
      <c r="G451" t="s">
        <v>21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59.8</v>
      </c>
    </row>
    <row r="452" spans="1:16">
      <c r="A452" t="s">
        <v>501</v>
      </c>
      <c r="B452" s="2">
        <v>45797</v>
      </c>
      <c r="C452" t="s">
        <v>17</v>
      </c>
      <c r="D452" t="s">
        <v>23</v>
      </c>
      <c r="E452" t="s">
        <v>24</v>
      </c>
      <c r="F452" t="s">
        <v>29</v>
      </c>
      <c r="G452" t="s">
        <v>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58.9</v>
      </c>
    </row>
    <row r="453" spans="1:16">
      <c r="A453" t="s">
        <v>502</v>
      </c>
      <c r="B453" s="2">
        <v>45666</v>
      </c>
      <c r="C453" t="s">
        <v>17</v>
      </c>
      <c r="D453" t="s">
        <v>28</v>
      </c>
      <c r="E453" t="s">
        <v>19</v>
      </c>
      <c r="F453" t="s">
        <v>25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P453">
        <v>52.9</v>
      </c>
    </row>
    <row r="454" spans="1:16">
      <c r="A454" t="s">
        <v>503</v>
      </c>
      <c r="B454" s="2">
        <v>45723</v>
      </c>
      <c r="C454" t="s">
        <v>17</v>
      </c>
      <c r="D454" t="s">
        <v>23</v>
      </c>
      <c r="E454" t="s">
        <v>24</v>
      </c>
      <c r="F454" t="s">
        <v>25</v>
      </c>
      <c r="G454" t="s">
        <v>26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67.8</v>
      </c>
    </row>
    <row r="455" spans="1:16">
      <c r="A455" t="s">
        <v>504</v>
      </c>
      <c r="B455" s="2">
        <v>45770</v>
      </c>
      <c r="C455" t="s">
        <v>17</v>
      </c>
      <c r="D455" t="s">
        <v>32</v>
      </c>
      <c r="E455" t="s">
        <v>24</v>
      </c>
      <c r="F455" t="s">
        <v>41</v>
      </c>
      <c r="G455" t="s">
        <v>26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48.7</v>
      </c>
    </row>
    <row r="456" spans="1:16">
      <c r="A456" t="s">
        <v>505</v>
      </c>
      <c r="B456" s="2">
        <v>45724</v>
      </c>
      <c r="C456" t="s">
        <v>17</v>
      </c>
      <c r="D456" t="s">
        <v>28</v>
      </c>
      <c r="E456" t="s">
        <v>24</v>
      </c>
      <c r="F456" t="s">
        <v>25</v>
      </c>
      <c r="G456" t="s">
        <v>21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59</v>
      </c>
    </row>
    <row r="457" spans="1:16">
      <c r="A457" t="s">
        <v>506</v>
      </c>
      <c r="B457" s="2">
        <v>45702</v>
      </c>
      <c r="C457" t="s">
        <v>17</v>
      </c>
      <c r="D457" t="s">
        <v>32</v>
      </c>
      <c r="E457" t="s">
        <v>24</v>
      </c>
      <c r="F457" t="s">
        <v>39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63.2</v>
      </c>
    </row>
    <row r="458" spans="1:16">
      <c r="A458" t="s">
        <v>507</v>
      </c>
      <c r="B458" s="2">
        <v>45794</v>
      </c>
      <c r="C458" t="s">
        <v>17</v>
      </c>
      <c r="D458" t="s">
        <v>23</v>
      </c>
      <c r="E458" t="s">
        <v>24</v>
      </c>
      <c r="F458" t="s">
        <v>39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68.7</v>
      </c>
    </row>
    <row r="459" spans="1:16">
      <c r="A459" t="s">
        <v>508</v>
      </c>
      <c r="B459" s="2">
        <v>45772</v>
      </c>
      <c r="C459" t="s">
        <v>17</v>
      </c>
      <c r="D459" t="s">
        <v>32</v>
      </c>
      <c r="E459" t="s">
        <v>24</v>
      </c>
      <c r="F459" t="s">
        <v>39</v>
      </c>
      <c r="G459" t="s">
        <v>26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52.1</v>
      </c>
    </row>
    <row r="460" spans="1:16">
      <c r="A460" t="s">
        <v>509</v>
      </c>
      <c r="B460" s="2">
        <v>45720</v>
      </c>
      <c r="C460" t="s">
        <v>17</v>
      </c>
      <c r="D460" t="s">
        <v>32</v>
      </c>
      <c r="E460" t="s">
        <v>19</v>
      </c>
      <c r="F460" t="s">
        <v>41</v>
      </c>
      <c r="G460" t="s">
        <v>21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56.5</v>
      </c>
    </row>
    <row r="461" spans="1:16">
      <c r="A461" t="s">
        <v>510</v>
      </c>
      <c r="B461" s="2">
        <v>45734</v>
      </c>
      <c r="C461" t="s">
        <v>17</v>
      </c>
      <c r="D461" t="s">
        <v>32</v>
      </c>
      <c r="E461" t="s">
        <v>24</v>
      </c>
      <c r="F461" t="s">
        <v>25</v>
      </c>
      <c r="G461" t="s">
        <v>26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64.400000000000006</v>
      </c>
    </row>
    <row r="462" spans="1:16">
      <c r="A462" t="s">
        <v>511</v>
      </c>
      <c r="B462" s="2">
        <v>45687</v>
      </c>
      <c r="C462" t="s">
        <v>17</v>
      </c>
      <c r="D462" t="s">
        <v>23</v>
      </c>
      <c r="E462" t="s">
        <v>24</v>
      </c>
      <c r="F462" t="s">
        <v>29</v>
      </c>
      <c r="G462" t="s">
        <v>30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65.900000000000006</v>
      </c>
    </row>
    <row r="463" spans="1:16">
      <c r="A463" t="s">
        <v>512</v>
      </c>
      <c r="B463" s="2">
        <v>45797</v>
      </c>
      <c r="C463" t="s">
        <v>17</v>
      </c>
      <c r="D463" t="s">
        <v>23</v>
      </c>
      <c r="E463" t="s">
        <v>34</v>
      </c>
      <c r="F463" t="s">
        <v>39</v>
      </c>
      <c r="G463" t="s">
        <v>26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P463">
        <v>100</v>
      </c>
    </row>
    <row r="464" spans="1:16">
      <c r="A464" t="s">
        <v>513</v>
      </c>
      <c r="B464" s="2">
        <v>45701</v>
      </c>
      <c r="C464" t="s">
        <v>17</v>
      </c>
      <c r="D464" t="s">
        <v>18</v>
      </c>
      <c r="F464" t="s">
        <v>25</v>
      </c>
      <c r="G464" t="s">
        <v>21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P464">
        <v>50.4</v>
      </c>
    </row>
    <row r="465" spans="1:16">
      <c r="A465" t="s">
        <v>514</v>
      </c>
      <c r="B465" s="2">
        <v>45759</v>
      </c>
      <c r="C465" t="s">
        <v>17</v>
      </c>
      <c r="D465" t="s">
        <v>23</v>
      </c>
      <c r="E465" t="s">
        <v>19</v>
      </c>
      <c r="F465" t="s">
        <v>25</v>
      </c>
      <c r="G465" t="s">
        <v>21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41.5</v>
      </c>
    </row>
    <row r="466" spans="1:16">
      <c r="A466" t="s">
        <v>515</v>
      </c>
      <c r="B466" s="2">
        <v>45754</v>
      </c>
      <c r="C466" t="s">
        <v>17</v>
      </c>
      <c r="D466" t="s">
        <v>18</v>
      </c>
      <c r="E466" t="s">
        <v>24</v>
      </c>
      <c r="F466" t="s">
        <v>20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86.2</v>
      </c>
    </row>
    <row r="467" spans="1:16">
      <c r="A467" t="s">
        <v>516</v>
      </c>
      <c r="B467" s="2">
        <v>45728</v>
      </c>
      <c r="C467" t="s">
        <v>17</v>
      </c>
      <c r="D467" t="s">
        <v>18</v>
      </c>
      <c r="E467" t="s">
        <v>19</v>
      </c>
      <c r="F467" t="s">
        <v>41</v>
      </c>
      <c r="G467" t="s">
        <v>26</v>
      </c>
      <c r="H467">
        <v>1</v>
      </c>
      <c r="I467">
        <v>1</v>
      </c>
      <c r="J467">
        <v>1</v>
      </c>
      <c r="K467">
        <v>0</v>
      </c>
      <c r="L467">
        <v>0</v>
      </c>
      <c r="M467">
        <v>2</v>
      </c>
      <c r="N467">
        <v>0</v>
      </c>
      <c r="P467">
        <v>50.8</v>
      </c>
    </row>
    <row r="468" spans="1:16">
      <c r="A468" t="s">
        <v>517</v>
      </c>
      <c r="B468" s="2">
        <v>45695</v>
      </c>
      <c r="C468" t="s">
        <v>17</v>
      </c>
      <c r="D468" t="s">
        <v>23</v>
      </c>
      <c r="E468" t="s">
        <v>24</v>
      </c>
      <c r="F468" t="s">
        <v>25</v>
      </c>
      <c r="G468" t="s">
        <v>26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50.9</v>
      </c>
    </row>
    <row r="469" spans="1:16">
      <c r="A469" t="s">
        <v>518</v>
      </c>
      <c r="B469" s="2">
        <v>45782</v>
      </c>
      <c r="C469" t="s">
        <v>17</v>
      </c>
      <c r="D469" t="s">
        <v>18</v>
      </c>
      <c r="E469" t="s">
        <v>24</v>
      </c>
      <c r="F469" t="s">
        <v>25</v>
      </c>
      <c r="G469" t="s">
        <v>30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87.5</v>
      </c>
    </row>
    <row r="470" spans="1:16">
      <c r="A470" t="s">
        <v>519</v>
      </c>
      <c r="B470" s="2">
        <v>45734</v>
      </c>
      <c r="C470" t="s">
        <v>17</v>
      </c>
      <c r="D470" t="s">
        <v>32</v>
      </c>
      <c r="E470" t="s">
        <v>24</v>
      </c>
      <c r="F470" t="s">
        <v>39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43.6</v>
      </c>
    </row>
    <row r="471" spans="1:16">
      <c r="A471" t="s">
        <v>520</v>
      </c>
      <c r="B471" s="2">
        <v>45662</v>
      </c>
      <c r="C471" t="s">
        <v>17</v>
      </c>
      <c r="D471" t="s">
        <v>32</v>
      </c>
      <c r="E471" t="s">
        <v>24</v>
      </c>
      <c r="F471" t="s">
        <v>29</v>
      </c>
      <c r="G471" t="s">
        <v>21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55.5</v>
      </c>
    </row>
    <row r="472" spans="1:16">
      <c r="A472" t="s">
        <v>521</v>
      </c>
      <c r="B472" s="2">
        <v>45787</v>
      </c>
      <c r="C472" t="s">
        <v>17</v>
      </c>
      <c r="D472" t="s">
        <v>32</v>
      </c>
      <c r="E472" t="s">
        <v>19</v>
      </c>
      <c r="F472" t="s">
        <v>39</v>
      </c>
      <c r="G472" t="s">
        <v>21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78.599999999999994</v>
      </c>
    </row>
    <row r="473" spans="1:16">
      <c r="A473" t="s">
        <v>522</v>
      </c>
      <c r="B473" s="2">
        <v>45660</v>
      </c>
      <c r="C473" t="s">
        <v>17</v>
      </c>
      <c r="D473" t="s">
        <v>32</v>
      </c>
      <c r="E473" t="s">
        <v>24</v>
      </c>
      <c r="F473" t="s">
        <v>41</v>
      </c>
      <c r="G473" t="s">
        <v>21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P473">
        <v>44.3</v>
      </c>
    </row>
    <row r="474" spans="1:16">
      <c r="A474" t="s">
        <v>523</v>
      </c>
      <c r="B474" s="2">
        <v>45785</v>
      </c>
      <c r="C474" t="s">
        <v>17</v>
      </c>
      <c r="D474" t="s">
        <v>32</v>
      </c>
      <c r="E474" t="s">
        <v>24</v>
      </c>
      <c r="F474" t="s">
        <v>29</v>
      </c>
      <c r="G474" t="s">
        <v>26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45.2</v>
      </c>
    </row>
    <row r="475" spans="1:16">
      <c r="A475" t="s">
        <v>524</v>
      </c>
      <c r="B475" s="2">
        <v>45721</v>
      </c>
      <c r="C475" t="s">
        <v>17</v>
      </c>
      <c r="D475" t="s">
        <v>32</v>
      </c>
      <c r="E475" t="s">
        <v>19</v>
      </c>
      <c r="F475" t="s">
        <v>20</v>
      </c>
      <c r="G475" t="s">
        <v>21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P475">
        <v>46.1</v>
      </c>
    </row>
    <row r="476" spans="1:16">
      <c r="A476" t="s">
        <v>525</v>
      </c>
      <c r="B476" s="2">
        <v>45705</v>
      </c>
      <c r="C476" t="s">
        <v>17</v>
      </c>
      <c r="D476" t="s">
        <v>18</v>
      </c>
      <c r="E476" t="s">
        <v>24</v>
      </c>
      <c r="F476" t="s">
        <v>25</v>
      </c>
      <c r="G476" t="s">
        <v>30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49.6</v>
      </c>
    </row>
    <row r="477" spans="1:16">
      <c r="A477" t="s">
        <v>526</v>
      </c>
      <c r="B477" s="2">
        <v>45666</v>
      </c>
      <c r="C477" t="s">
        <v>17</v>
      </c>
      <c r="D477" t="s">
        <v>32</v>
      </c>
      <c r="E477" t="s">
        <v>24</v>
      </c>
      <c r="F477" t="s">
        <v>39</v>
      </c>
      <c r="G477" t="s">
        <v>21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70.5</v>
      </c>
    </row>
    <row r="478" spans="1:16">
      <c r="A478" t="s">
        <v>527</v>
      </c>
      <c r="B478" s="2">
        <v>45782</v>
      </c>
      <c r="C478" t="s">
        <v>17</v>
      </c>
      <c r="D478" t="s">
        <v>32</v>
      </c>
      <c r="E478" t="s">
        <v>24</v>
      </c>
      <c r="F478" t="s">
        <v>20</v>
      </c>
      <c r="G478" t="s">
        <v>21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P478">
        <v>60.8</v>
      </c>
    </row>
    <row r="479" spans="1:16">
      <c r="A479" t="s">
        <v>528</v>
      </c>
      <c r="B479" s="2">
        <v>45763</v>
      </c>
      <c r="C479" t="s">
        <v>17</v>
      </c>
      <c r="D479" t="s">
        <v>28</v>
      </c>
      <c r="E479" t="s">
        <v>24</v>
      </c>
      <c r="F479" t="s">
        <v>20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P479">
        <v>50.5</v>
      </c>
    </row>
    <row r="480" spans="1:16">
      <c r="A480" t="s">
        <v>529</v>
      </c>
      <c r="B480" s="2">
        <v>45718</v>
      </c>
      <c r="C480" t="s">
        <v>17</v>
      </c>
      <c r="D480" t="s">
        <v>32</v>
      </c>
      <c r="E480" t="s">
        <v>19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54.9</v>
      </c>
    </row>
    <row r="481" spans="1:16">
      <c r="A481" t="s">
        <v>530</v>
      </c>
      <c r="B481" s="2">
        <v>45761</v>
      </c>
      <c r="C481" t="s">
        <v>17</v>
      </c>
      <c r="D481" t="s">
        <v>32</v>
      </c>
      <c r="E481" t="s">
        <v>24</v>
      </c>
      <c r="F481" t="s">
        <v>41</v>
      </c>
      <c r="G481" t="s">
        <v>30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29.9</v>
      </c>
    </row>
    <row r="482" spans="1:16">
      <c r="A482" t="s">
        <v>531</v>
      </c>
      <c r="B482" s="2">
        <v>45703</v>
      </c>
      <c r="C482" t="s">
        <v>17</v>
      </c>
      <c r="D482" t="s">
        <v>28</v>
      </c>
      <c r="E482" t="s">
        <v>19</v>
      </c>
      <c r="F482" t="s">
        <v>29</v>
      </c>
      <c r="G482" t="s">
        <v>21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48.3</v>
      </c>
    </row>
    <row r="483" spans="1:16">
      <c r="A483" t="s">
        <v>533</v>
      </c>
      <c r="B483" s="2">
        <v>45722</v>
      </c>
      <c r="C483" t="s">
        <v>17</v>
      </c>
      <c r="D483" t="s">
        <v>18</v>
      </c>
      <c r="E483" t="s">
        <v>24</v>
      </c>
      <c r="F483" t="s">
        <v>20</v>
      </c>
      <c r="G483" t="s">
        <v>26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61.4</v>
      </c>
    </row>
    <row r="484" spans="1:16">
      <c r="A484" t="s">
        <v>534</v>
      </c>
      <c r="B484" s="2">
        <v>45706</v>
      </c>
      <c r="C484" t="s">
        <v>17</v>
      </c>
      <c r="D484" t="s">
        <v>32</v>
      </c>
      <c r="E484" t="s">
        <v>19</v>
      </c>
      <c r="F484" t="s">
        <v>41</v>
      </c>
      <c r="G484" t="s">
        <v>26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57.8</v>
      </c>
    </row>
    <row r="485" spans="1:16">
      <c r="A485" t="s">
        <v>535</v>
      </c>
      <c r="B485" s="2">
        <v>45754</v>
      </c>
      <c r="C485" t="s">
        <v>17</v>
      </c>
      <c r="D485" t="s">
        <v>18</v>
      </c>
      <c r="E485" t="s">
        <v>19</v>
      </c>
      <c r="F485" t="s">
        <v>25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78.2</v>
      </c>
    </row>
    <row r="486" spans="1:16">
      <c r="A486" t="s">
        <v>536</v>
      </c>
      <c r="B486" s="2">
        <v>45753</v>
      </c>
      <c r="C486" t="s">
        <v>17</v>
      </c>
      <c r="D486" t="s">
        <v>18</v>
      </c>
      <c r="E486" t="s">
        <v>24</v>
      </c>
      <c r="F486" t="s">
        <v>39</v>
      </c>
      <c r="G486" t="s">
        <v>26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63.8</v>
      </c>
    </row>
    <row r="487" spans="1:16">
      <c r="A487" t="s">
        <v>537</v>
      </c>
      <c r="B487" s="2">
        <v>45687</v>
      </c>
      <c r="C487" t="s">
        <v>17</v>
      </c>
      <c r="D487" t="s">
        <v>18</v>
      </c>
      <c r="E487" t="s">
        <v>19</v>
      </c>
      <c r="F487" t="s">
        <v>41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56.8</v>
      </c>
    </row>
    <row r="488" spans="1:16">
      <c r="A488" t="s">
        <v>538</v>
      </c>
      <c r="B488" s="2">
        <v>45790</v>
      </c>
      <c r="C488" t="s">
        <v>17</v>
      </c>
      <c r="D488" t="s">
        <v>32</v>
      </c>
      <c r="E488" t="s">
        <v>19</v>
      </c>
      <c r="F488" t="s">
        <v>25</v>
      </c>
      <c r="G488" t="s">
        <v>21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59.6</v>
      </c>
    </row>
    <row r="489" spans="1:16">
      <c r="A489" t="s">
        <v>539</v>
      </c>
      <c r="B489" s="2">
        <v>45677</v>
      </c>
      <c r="C489" t="s">
        <v>17</v>
      </c>
      <c r="D489" t="s">
        <v>23</v>
      </c>
      <c r="E489" t="s">
        <v>24</v>
      </c>
      <c r="F489" t="s">
        <v>29</v>
      </c>
      <c r="G489" t="s">
        <v>30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50</v>
      </c>
    </row>
    <row r="490" spans="1:16">
      <c r="A490" t="s">
        <v>540</v>
      </c>
      <c r="B490" s="2">
        <v>45687</v>
      </c>
      <c r="C490" t="s">
        <v>17</v>
      </c>
      <c r="D490" t="s">
        <v>18</v>
      </c>
      <c r="E490" t="s">
        <v>34</v>
      </c>
      <c r="F490" t="s">
        <v>25</v>
      </c>
      <c r="G490" t="s">
        <v>26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35.700000000000003</v>
      </c>
    </row>
    <row r="491" spans="1:16">
      <c r="A491" t="s">
        <v>541</v>
      </c>
      <c r="B491" s="2">
        <v>45670</v>
      </c>
      <c r="C491" t="s">
        <v>17</v>
      </c>
      <c r="D491" t="s">
        <v>32</v>
      </c>
      <c r="E491" t="s">
        <v>24</v>
      </c>
      <c r="F491" t="s">
        <v>25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0</v>
      </c>
      <c r="P491">
        <v>47.2</v>
      </c>
    </row>
    <row r="492" spans="1:16">
      <c r="A492" t="s">
        <v>542</v>
      </c>
      <c r="B492" s="2">
        <v>45699</v>
      </c>
      <c r="C492" t="s">
        <v>17</v>
      </c>
      <c r="D492" t="s">
        <v>18</v>
      </c>
      <c r="E492" t="s">
        <v>24</v>
      </c>
      <c r="F492" t="s">
        <v>41</v>
      </c>
      <c r="G492" t="s">
        <v>26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56.9</v>
      </c>
    </row>
    <row r="493" spans="1:16">
      <c r="A493" t="s">
        <v>543</v>
      </c>
      <c r="B493" s="2">
        <v>45762</v>
      </c>
      <c r="C493" t="s">
        <v>17</v>
      </c>
      <c r="D493" t="s">
        <v>32</v>
      </c>
      <c r="E493" t="s">
        <v>24</v>
      </c>
      <c r="F493" t="s">
        <v>25</v>
      </c>
      <c r="G493" t="s">
        <v>26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P493">
        <v>57.2</v>
      </c>
    </row>
    <row r="494" spans="1:16">
      <c r="A494" t="s">
        <v>544</v>
      </c>
      <c r="B494" s="2">
        <v>45701</v>
      </c>
      <c r="C494" t="s">
        <v>17</v>
      </c>
      <c r="D494" t="s">
        <v>32</v>
      </c>
      <c r="E494" t="s">
        <v>24</v>
      </c>
      <c r="G494" t="s">
        <v>26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31.4</v>
      </c>
    </row>
    <row r="495" spans="1:16">
      <c r="A495" t="s">
        <v>545</v>
      </c>
      <c r="B495" s="2">
        <v>45786</v>
      </c>
      <c r="C495" t="s">
        <v>17</v>
      </c>
      <c r="D495" t="s">
        <v>32</v>
      </c>
      <c r="E495" t="s">
        <v>19</v>
      </c>
      <c r="F495" t="s">
        <v>25</v>
      </c>
      <c r="G495" t="s">
        <v>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71.2</v>
      </c>
    </row>
    <row r="496" spans="1:16">
      <c r="A496" t="s">
        <v>546</v>
      </c>
      <c r="B496" s="2">
        <v>45726</v>
      </c>
      <c r="C496" t="s">
        <v>17</v>
      </c>
      <c r="D496" t="s">
        <v>18</v>
      </c>
      <c r="E496" t="s">
        <v>24</v>
      </c>
      <c r="F496" t="s">
        <v>29</v>
      </c>
      <c r="G496" t="s">
        <v>26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0</v>
      </c>
      <c r="P496">
        <v>38.299999999999997</v>
      </c>
    </row>
    <row r="497" spans="1:16">
      <c r="A497" t="s">
        <v>547</v>
      </c>
      <c r="B497" s="2">
        <v>45748</v>
      </c>
      <c r="C497" t="s">
        <v>17</v>
      </c>
      <c r="D497" t="s">
        <v>18</v>
      </c>
      <c r="E497" t="s">
        <v>24</v>
      </c>
      <c r="F497" t="s">
        <v>25</v>
      </c>
      <c r="G497" t="s">
        <v>26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63.1</v>
      </c>
    </row>
    <row r="498" spans="1:16">
      <c r="A498" t="s">
        <v>548</v>
      </c>
      <c r="B498" s="2">
        <v>45792</v>
      </c>
      <c r="C498" t="s">
        <v>17</v>
      </c>
      <c r="D498" t="s">
        <v>28</v>
      </c>
      <c r="E498" t="s">
        <v>24</v>
      </c>
      <c r="F498" t="s">
        <v>39</v>
      </c>
      <c r="G498" t="s">
        <v>21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59.7</v>
      </c>
    </row>
    <row r="499" spans="1:16">
      <c r="A499" t="s">
        <v>549</v>
      </c>
      <c r="B499" s="2">
        <v>45781</v>
      </c>
      <c r="C499" t="s">
        <v>17</v>
      </c>
      <c r="D499" t="s">
        <v>32</v>
      </c>
      <c r="E499" t="s">
        <v>19</v>
      </c>
      <c r="F499" t="s">
        <v>41</v>
      </c>
      <c r="G499" t="s">
        <v>30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P499">
        <v>59.5</v>
      </c>
    </row>
    <row r="500" spans="1:16">
      <c r="A500" t="s">
        <v>550</v>
      </c>
      <c r="B500" s="2">
        <v>45797</v>
      </c>
      <c r="C500" t="s">
        <v>17</v>
      </c>
      <c r="D500" t="s">
        <v>28</v>
      </c>
      <c r="E500" t="s">
        <v>24</v>
      </c>
      <c r="F500" t="s">
        <v>29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78.8</v>
      </c>
    </row>
    <row r="501" spans="1:16">
      <c r="A501" t="s">
        <v>551</v>
      </c>
      <c r="B501" s="2">
        <v>45793</v>
      </c>
      <c r="C501" t="s">
        <v>17</v>
      </c>
      <c r="D501" t="s">
        <v>23</v>
      </c>
      <c r="E501" t="s">
        <v>19</v>
      </c>
      <c r="F501" t="s">
        <v>39</v>
      </c>
      <c r="G501" t="s">
        <v>26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54</v>
      </c>
    </row>
    <row r="502" spans="1:16">
      <c r="A502" t="s">
        <v>552</v>
      </c>
      <c r="B502" s="2">
        <v>45733</v>
      </c>
      <c r="C502" t="s">
        <v>17</v>
      </c>
      <c r="D502" t="s">
        <v>23</v>
      </c>
      <c r="E502" t="s">
        <v>24</v>
      </c>
      <c r="F502" t="s">
        <v>25</v>
      </c>
      <c r="G502" t="s">
        <v>26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66.3</v>
      </c>
    </row>
    <row r="503" spans="1:16">
      <c r="A503" t="s">
        <v>553</v>
      </c>
      <c r="B503" s="2">
        <v>45684</v>
      </c>
      <c r="C503" t="s">
        <v>17</v>
      </c>
      <c r="D503" t="s">
        <v>28</v>
      </c>
      <c r="E503" t="s">
        <v>34</v>
      </c>
      <c r="F503" t="s">
        <v>29</v>
      </c>
      <c r="G503" t="s">
        <v>26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54.7</v>
      </c>
    </row>
    <row r="504" spans="1:16">
      <c r="A504" t="s">
        <v>554</v>
      </c>
      <c r="B504" s="2">
        <v>45760</v>
      </c>
      <c r="C504" t="s">
        <v>17</v>
      </c>
      <c r="D504" t="s">
        <v>32</v>
      </c>
      <c r="E504" t="s">
        <v>24</v>
      </c>
      <c r="F504" t="s">
        <v>25</v>
      </c>
      <c r="G504" t="s">
        <v>21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76.7</v>
      </c>
    </row>
    <row r="505" spans="1:16">
      <c r="A505" t="s">
        <v>555</v>
      </c>
      <c r="B505" s="2">
        <v>45780</v>
      </c>
      <c r="C505" t="s">
        <v>17</v>
      </c>
      <c r="D505" t="s">
        <v>32</v>
      </c>
      <c r="E505" t="s">
        <v>19</v>
      </c>
      <c r="F505" t="s">
        <v>20</v>
      </c>
      <c r="G505" t="s">
        <v>21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0</v>
      </c>
      <c r="P505">
        <v>47.4</v>
      </c>
    </row>
    <row r="506" spans="1:16">
      <c r="A506" t="s">
        <v>556</v>
      </c>
      <c r="B506" s="2">
        <v>45746</v>
      </c>
      <c r="C506" t="s">
        <v>17</v>
      </c>
      <c r="D506" t="s">
        <v>18</v>
      </c>
      <c r="E506" t="s">
        <v>24</v>
      </c>
      <c r="F506" t="s">
        <v>25</v>
      </c>
      <c r="G506" t="s">
        <v>26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P506">
        <v>81.7</v>
      </c>
    </row>
    <row r="507" spans="1:16">
      <c r="A507" t="s">
        <v>557</v>
      </c>
      <c r="B507" s="2">
        <v>45658</v>
      </c>
      <c r="C507" t="s">
        <v>17</v>
      </c>
      <c r="D507" t="s">
        <v>23</v>
      </c>
      <c r="E507" t="s">
        <v>24</v>
      </c>
      <c r="F507" t="s">
        <v>29</v>
      </c>
      <c r="G507" t="s">
        <v>21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P507">
        <v>67.5</v>
      </c>
    </row>
    <row r="508" spans="1:16">
      <c r="A508" t="s">
        <v>558</v>
      </c>
      <c r="B508" s="2">
        <v>45694</v>
      </c>
      <c r="C508" t="s">
        <v>17</v>
      </c>
      <c r="D508" t="s">
        <v>23</v>
      </c>
      <c r="E508" t="s">
        <v>24</v>
      </c>
      <c r="F508" t="s">
        <v>29</v>
      </c>
      <c r="G508" t="s">
        <v>21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36.799999999999997</v>
      </c>
    </row>
    <row r="509" spans="1:16">
      <c r="A509" t="s">
        <v>559</v>
      </c>
      <c r="B509" s="2">
        <v>45713</v>
      </c>
      <c r="C509" t="s">
        <v>17</v>
      </c>
      <c r="D509" t="s">
        <v>18</v>
      </c>
      <c r="E509" t="s">
        <v>19</v>
      </c>
      <c r="F509" t="s">
        <v>25</v>
      </c>
      <c r="G509" t="s">
        <v>26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66.5</v>
      </c>
    </row>
    <row r="510" spans="1:16">
      <c r="A510" t="s">
        <v>560</v>
      </c>
      <c r="B510" s="2">
        <v>45791</v>
      </c>
      <c r="C510" t="s">
        <v>17</v>
      </c>
      <c r="D510" t="s">
        <v>28</v>
      </c>
      <c r="E510" t="s">
        <v>34</v>
      </c>
      <c r="F510" t="s">
        <v>41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35.4</v>
      </c>
    </row>
    <row r="511" spans="1:16">
      <c r="A511" t="s">
        <v>561</v>
      </c>
      <c r="B511" s="2">
        <v>45797</v>
      </c>
      <c r="C511" t="s">
        <v>17</v>
      </c>
      <c r="D511" t="s">
        <v>32</v>
      </c>
      <c r="E511" t="s">
        <v>24</v>
      </c>
      <c r="F511" t="s">
        <v>25</v>
      </c>
      <c r="G511" t="s">
        <v>21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64.3</v>
      </c>
    </row>
    <row r="512" spans="1:16">
      <c r="A512" t="s">
        <v>562</v>
      </c>
      <c r="B512" s="2">
        <v>45699</v>
      </c>
      <c r="C512" t="s">
        <v>17</v>
      </c>
      <c r="D512" t="s">
        <v>32</v>
      </c>
      <c r="E512" t="s">
        <v>24</v>
      </c>
      <c r="F512" t="s">
        <v>25</v>
      </c>
      <c r="G512" t="s">
        <v>26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49.1</v>
      </c>
    </row>
    <row r="513" spans="1:16">
      <c r="A513" t="s">
        <v>563</v>
      </c>
      <c r="B513" s="2">
        <v>45701</v>
      </c>
      <c r="C513" t="s">
        <v>17</v>
      </c>
      <c r="D513" t="s">
        <v>23</v>
      </c>
      <c r="E513" t="s">
        <v>24</v>
      </c>
      <c r="F513" t="s">
        <v>25</v>
      </c>
      <c r="G513" t="s">
        <v>26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84.3</v>
      </c>
    </row>
    <row r="514" spans="1:16">
      <c r="A514" t="s">
        <v>564</v>
      </c>
      <c r="B514" s="2">
        <v>45754</v>
      </c>
      <c r="C514" t="s">
        <v>17</v>
      </c>
      <c r="D514" t="s">
        <v>32</v>
      </c>
      <c r="E514" t="s">
        <v>24</v>
      </c>
      <c r="F514" t="s">
        <v>29</v>
      </c>
      <c r="G514" t="s">
        <v>30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65.599999999999994</v>
      </c>
    </row>
    <row r="515" spans="1:16">
      <c r="A515" t="s">
        <v>565</v>
      </c>
      <c r="B515" s="2">
        <v>45724</v>
      </c>
      <c r="C515" t="s">
        <v>17</v>
      </c>
      <c r="D515" t="s">
        <v>28</v>
      </c>
      <c r="E515" t="s">
        <v>24</v>
      </c>
      <c r="F515" t="s">
        <v>20</v>
      </c>
      <c r="G515" t="s">
        <v>26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47.1</v>
      </c>
    </row>
    <row r="516" spans="1:16">
      <c r="A516" t="s">
        <v>566</v>
      </c>
      <c r="B516" s="2">
        <v>45704</v>
      </c>
      <c r="C516" t="s">
        <v>17</v>
      </c>
      <c r="D516" t="s">
        <v>18</v>
      </c>
      <c r="E516" t="s">
        <v>19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P516">
        <v>70</v>
      </c>
    </row>
    <row r="517" spans="1:16">
      <c r="A517" t="s">
        <v>567</v>
      </c>
      <c r="B517" s="2">
        <v>45775</v>
      </c>
      <c r="C517" t="s">
        <v>17</v>
      </c>
      <c r="D517" t="s">
        <v>32</v>
      </c>
      <c r="E517" t="s">
        <v>24</v>
      </c>
      <c r="F517" t="s">
        <v>29</v>
      </c>
      <c r="G517" t="s">
        <v>30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54.6</v>
      </c>
    </row>
    <row r="518" spans="1:16">
      <c r="A518" t="s">
        <v>568</v>
      </c>
      <c r="B518" s="2">
        <v>45726</v>
      </c>
      <c r="C518" t="s">
        <v>17</v>
      </c>
      <c r="D518" t="s">
        <v>23</v>
      </c>
      <c r="E518" t="s">
        <v>34</v>
      </c>
      <c r="F518" t="s">
        <v>41</v>
      </c>
      <c r="G518" t="s">
        <v>21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0</v>
      </c>
      <c r="P518">
        <v>65.2</v>
      </c>
    </row>
    <row r="519" spans="1:16">
      <c r="A519" t="s">
        <v>569</v>
      </c>
      <c r="B519" s="2">
        <v>45682</v>
      </c>
      <c r="C519" t="s">
        <v>17</v>
      </c>
      <c r="D519" t="s">
        <v>28</v>
      </c>
      <c r="E519" t="s">
        <v>24</v>
      </c>
      <c r="F519" t="s">
        <v>41</v>
      </c>
      <c r="G519" t="s">
        <v>26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65</v>
      </c>
    </row>
    <row r="520" spans="1:16">
      <c r="A520" t="s">
        <v>570</v>
      </c>
      <c r="B520" s="2">
        <v>45668</v>
      </c>
      <c r="C520" t="s">
        <v>17</v>
      </c>
      <c r="D520" t="s">
        <v>23</v>
      </c>
      <c r="E520" t="s">
        <v>24</v>
      </c>
      <c r="F520" t="s">
        <v>29</v>
      </c>
      <c r="G520" t="s">
        <v>30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1</v>
      </c>
      <c r="N520">
        <v>0</v>
      </c>
      <c r="P520">
        <v>42.1</v>
      </c>
    </row>
    <row r="521" spans="1:16">
      <c r="A521" t="s">
        <v>571</v>
      </c>
      <c r="B521" s="2">
        <v>45747</v>
      </c>
      <c r="C521" t="s">
        <v>17</v>
      </c>
      <c r="D521" t="s">
        <v>23</v>
      </c>
      <c r="E521" t="s">
        <v>34</v>
      </c>
      <c r="F521" t="s">
        <v>29</v>
      </c>
      <c r="G521" t="s">
        <v>26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43.4</v>
      </c>
    </row>
    <row r="522" spans="1:16">
      <c r="A522" t="s">
        <v>572</v>
      </c>
      <c r="B522" s="2">
        <v>45799</v>
      </c>
      <c r="C522" t="s">
        <v>17</v>
      </c>
      <c r="D522" t="s">
        <v>18</v>
      </c>
      <c r="E522" t="s">
        <v>24</v>
      </c>
      <c r="F522" t="s">
        <v>29</v>
      </c>
      <c r="G522" t="s">
        <v>21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39.9</v>
      </c>
    </row>
    <row r="523" spans="1:16">
      <c r="A523" t="s">
        <v>573</v>
      </c>
      <c r="B523" s="2">
        <v>45793</v>
      </c>
      <c r="C523" t="s">
        <v>17</v>
      </c>
      <c r="D523" t="s">
        <v>18</v>
      </c>
      <c r="E523" t="s">
        <v>24</v>
      </c>
      <c r="F523" t="s">
        <v>39</v>
      </c>
      <c r="G523" t="s">
        <v>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74.099999999999994</v>
      </c>
    </row>
    <row r="524" spans="1:16">
      <c r="A524" t="s">
        <v>574</v>
      </c>
      <c r="B524" s="2">
        <v>45772</v>
      </c>
      <c r="C524" t="s">
        <v>17</v>
      </c>
      <c r="D524" t="s">
        <v>28</v>
      </c>
      <c r="E524" t="s">
        <v>19</v>
      </c>
      <c r="F524" t="s">
        <v>29</v>
      </c>
      <c r="G524" t="s">
        <v>26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61.4</v>
      </c>
    </row>
    <row r="525" spans="1:16">
      <c r="A525" t="s">
        <v>575</v>
      </c>
      <c r="B525" s="2">
        <v>45764</v>
      </c>
      <c r="C525" t="s">
        <v>17</v>
      </c>
      <c r="D525" t="s">
        <v>28</v>
      </c>
      <c r="E525" t="s">
        <v>24</v>
      </c>
      <c r="F525" t="s">
        <v>41</v>
      </c>
      <c r="G525" t="s">
        <v>30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P525">
        <v>76.8</v>
      </c>
    </row>
    <row r="526" spans="1:16">
      <c r="A526" t="s">
        <v>576</v>
      </c>
      <c r="B526" s="2">
        <v>45658</v>
      </c>
      <c r="C526" t="s">
        <v>17</v>
      </c>
      <c r="D526" t="s">
        <v>32</v>
      </c>
      <c r="E526" t="s">
        <v>19</v>
      </c>
      <c r="F526" t="s">
        <v>41</v>
      </c>
      <c r="G526" t="s">
        <v>21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6">
      <c r="A527" t="s">
        <v>577</v>
      </c>
      <c r="B527" s="2">
        <v>45734</v>
      </c>
      <c r="C527" t="s">
        <v>17</v>
      </c>
      <c r="D527" t="s">
        <v>28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45.3</v>
      </c>
    </row>
    <row r="528" spans="1:16">
      <c r="A528" t="s">
        <v>578</v>
      </c>
      <c r="B528" s="2">
        <v>45797</v>
      </c>
      <c r="C528" t="s">
        <v>17</v>
      </c>
      <c r="D528" t="s">
        <v>18</v>
      </c>
      <c r="E528" t="s">
        <v>34</v>
      </c>
      <c r="F528" t="s">
        <v>29</v>
      </c>
      <c r="G528" t="s">
        <v>26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41.4</v>
      </c>
    </row>
    <row r="529" spans="1:16">
      <c r="A529" t="s">
        <v>579</v>
      </c>
      <c r="B529" s="2">
        <v>45732</v>
      </c>
      <c r="C529" t="s">
        <v>17</v>
      </c>
      <c r="D529" t="s">
        <v>18</v>
      </c>
      <c r="E529" t="s">
        <v>24</v>
      </c>
      <c r="F529" t="s">
        <v>25</v>
      </c>
      <c r="G529" t="s">
        <v>21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37.1</v>
      </c>
    </row>
    <row r="530" spans="1:16">
      <c r="A530" t="s">
        <v>580</v>
      </c>
      <c r="B530" s="2">
        <v>45807</v>
      </c>
      <c r="C530" t="s">
        <v>17</v>
      </c>
      <c r="D530" t="s">
        <v>28</v>
      </c>
      <c r="E530" t="s">
        <v>19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40.700000000000003</v>
      </c>
    </row>
    <row r="531" spans="1:16">
      <c r="A531" t="s">
        <v>581</v>
      </c>
      <c r="B531" s="2">
        <v>45708</v>
      </c>
      <c r="C531" t="s">
        <v>17</v>
      </c>
      <c r="D531" t="s">
        <v>18</v>
      </c>
      <c r="E531" t="s">
        <v>24</v>
      </c>
      <c r="F531" t="s">
        <v>41</v>
      </c>
      <c r="G531" t="s">
        <v>30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P531">
        <v>55.9</v>
      </c>
    </row>
    <row r="532" spans="1:16">
      <c r="A532" t="s">
        <v>582</v>
      </c>
      <c r="B532" s="2">
        <v>45699</v>
      </c>
      <c r="C532" t="s">
        <v>17</v>
      </c>
      <c r="D532" t="s">
        <v>28</v>
      </c>
      <c r="F532" t="s">
        <v>41</v>
      </c>
      <c r="G532" t="s">
        <v>26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55.8</v>
      </c>
    </row>
    <row r="533" spans="1:16">
      <c r="A533" t="s">
        <v>583</v>
      </c>
      <c r="B533" s="2">
        <v>45659</v>
      </c>
      <c r="C533" t="s">
        <v>17</v>
      </c>
      <c r="D533" t="s">
        <v>32</v>
      </c>
      <c r="E533" t="s">
        <v>34</v>
      </c>
      <c r="F533" t="s">
        <v>39</v>
      </c>
      <c r="G533" t="s">
        <v>21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64.3</v>
      </c>
    </row>
    <row r="534" spans="1:16">
      <c r="A534" t="s">
        <v>584</v>
      </c>
      <c r="B534" s="2">
        <v>45780</v>
      </c>
      <c r="C534" t="s">
        <v>17</v>
      </c>
      <c r="D534" t="s">
        <v>18</v>
      </c>
      <c r="E534" t="s">
        <v>24</v>
      </c>
      <c r="F534" t="s">
        <v>25</v>
      </c>
      <c r="G534" t="s">
        <v>26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65.400000000000006</v>
      </c>
    </row>
    <row r="535" spans="1:16">
      <c r="A535" t="s">
        <v>585</v>
      </c>
      <c r="B535" s="2">
        <v>45712</v>
      </c>
      <c r="C535" t="s">
        <v>17</v>
      </c>
      <c r="D535" t="s">
        <v>23</v>
      </c>
      <c r="E535" t="s">
        <v>24</v>
      </c>
      <c r="F535" t="s">
        <v>25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89.8</v>
      </c>
    </row>
    <row r="536" spans="1:16">
      <c r="A536" t="s">
        <v>586</v>
      </c>
      <c r="B536" s="2">
        <v>45699</v>
      </c>
      <c r="C536" t="s">
        <v>17</v>
      </c>
      <c r="D536" t="s">
        <v>32</v>
      </c>
      <c r="F536" t="s">
        <v>25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58.3</v>
      </c>
    </row>
    <row r="537" spans="1:16">
      <c r="A537" t="s">
        <v>587</v>
      </c>
      <c r="B537" s="2">
        <v>45783</v>
      </c>
      <c r="C537" t="s">
        <v>17</v>
      </c>
      <c r="D537" t="s">
        <v>32</v>
      </c>
      <c r="E537" t="s">
        <v>24</v>
      </c>
      <c r="F537" t="s">
        <v>41</v>
      </c>
      <c r="G537" t="s">
        <v>21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64.400000000000006</v>
      </c>
    </row>
    <row r="538" spans="1:16">
      <c r="A538" t="s">
        <v>588</v>
      </c>
      <c r="B538" s="2">
        <v>45800</v>
      </c>
      <c r="C538" t="s">
        <v>17</v>
      </c>
      <c r="D538" t="s">
        <v>18</v>
      </c>
      <c r="E538" t="s">
        <v>24</v>
      </c>
      <c r="F538" t="s">
        <v>29</v>
      </c>
      <c r="G538" t="s">
        <v>30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46.2</v>
      </c>
    </row>
    <row r="539" spans="1:16">
      <c r="A539" t="s">
        <v>589</v>
      </c>
      <c r="B539" s="2">
        <v>45666</v>
      </c>
      <c r="C539" t="s">
        <v>17</v>
      </c>
      <c r="D539" t="s">
        <v>18</v>
      </c>
      <c r="E539" t="s">
        <v>19</v>
      </c>
      <c r="F539" t="s">
        <v>29</v>
      </c>
      <c r="G539" t="s">
        <v>26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78</v>
      </c>
    </row>
    <row r="540" spans="1:16">
      <c r="A540" t="s">
        <v>590</v>
      </c>
      <c r="B540" s="2">
        <v>45748</v>
      </c>
      <c r="C540" t="s">
        <v>17</v>
      </c>
      <c r="D540" t="s">
        <v>18</v>
      </c>
      <c r="E540" t="s">
        <v>19</v>
      </c>
      <c r="F540" t="s">
        <v>25</v>
      </c>
      <c r="G540" t="s">
        <v>30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62.3</v>
      </c>
    </row>
    <row r="541" spans="1:16">
      <c r="A541" t="s">
        <v>591</v>
      </c>
      <c r="B541" s="2">
        <v>45724</v>
      </c>
      <c r="C541" t="s">
        <v>17</v>
      </c>
      <c r="D541" t="s">
        <v>18</v>
      </c>
      <c r="E541" t="s">
        <v>24</v>
      </c>
      <c r="F541" t="s">
        <v>25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78.8</v>
      </c>
    </row>
    <row r="542" spans="1:16">
      <c r="A542" t="s">
        <v>592</v>
      </c>
      <c r="B542" s="2">
        <v>45708</v>
      </c>
      <c r="C542" t="s">
        <v>17</v>
      </c>
      <c r="D542" t="s">
        <v>18</v>
      </c>
      <c r="E542" t="s">
        <v>24</v>
      </c>
      <c r="F542" t="s">
        <v>41</v>
      </c>
      <c r="G542" t="s">
        <v>21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25</v>
      </c>
    </row>
    <row r="543" spans="1:16">
      <c r="A543" t="s">
        <v>593</v>
      </c>
      <c r="B543" s="2">
        <v>45746</v>
      </c>
      <c r="C543" t="s">
        <v>17</v>
      </c>
      <c r="D543" t="s">
        <v>28</v>
      </c>
      <c r="E543" t="s">
        <v>24</v>
      </c>
      <c r="F543" t="s">
        <v>41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53.4</v>
      </c>
    </row>
    <row r="544" spans="1:16">
      <c r="A544" t="s">
        <v>594</v>
      </c>
      <c r="B544" s="2">
        <v>45757</v>
      </c>
      <c r="C544" t="s">
        <v>17</v>
      </c>
      <c r="D544" t="s">
        <v>28</v>
      </c>
      <c r="E544" t="s">
        <v>19</v>
      </c>
      <c r="F544" t="s">
        <v>25</v>
      </c>
      <c r="G544" t="s">
        <v>21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40.700000000000003</v>
      </c>
    </row>
    <row r="545" spans="1:16">
      <c r="A545" t="s">
        <v>595</v>
      </c>
      <c r="B545" s="2">
        <v>45740</v>
      </c>
      <c r="C545" t="s">
        <v>17</v>
      </c>
      <c r="D545" t="s">
        <v>28</v>
      </c>
      <c r="E545" t="s">
        <v>24</v>
      </c>
      <c r="F545" t="s">
        <v>25</v>
      </c>
      <c r="G545" t="s">
        <v>30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36.700000000000003</v>
      </c>
    </row>
    <row r="546" spans="1:16">
      <c r="A546" t="s">
        <v>596</v>
      </c>
      <c r="B546" s="2">
        <v>45798</v>
      </c>
      <c r="C546" t="s">
        <v>17</v>
      </c>
      <c r="D546" t="s">
        <v>23</v>
      </c>
      <c r="E546" t="s">
        <v>24</v>
      </c>
      <c r="F546" t="s">
        <v>25</v>
      </c>
      <c r="G546" t="s">
        <v>21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P546">
        <v>67.5</v>
      </c>
    </row>
    <row r="547" spans="1:16">
      <c r="A547" t="s">
        <v>597</v>
      </c>
      <c r="B547" s="2">
        <v>45745</v>
      </c>
      <c r="C547" t="s">
        <v>17</v>
      </c>
      <c r="D547" t="s">
        <v>28</v>
      </c>
      <c r="E547" t="s">
        <v>24</v>
      </c>
      <c r="F547" t="s">
        <v>41</v>
      </c>
      <c r="G547" t="s">
        <v>30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69.900000000000006</v>
      </c>
    </row>
    <row r="548" spans="1:16">
      <c r="A548" t="s">
        <v>598</v>
      </c>
      <c r="B548" s="2">
        <v>45711</v>
      </c>
      <c r="C548" t="s">
        <v>17</v>
      </c>
      <c r="D548" t="s">
        <v>18</v>
      </c>
      <c r="E548" t="s">
        <v>34</v>
      </c>
      <c r="F548" t="s">
        <v>39</v>
      </c>
      <c r="G548" t="s">
        <v>21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65.099999999999994</v>
      </c>
    </row>
    <row r="549" spans="1:16">
      <c r="A549" t="s">
        <v>599</v>
      </c>
      <c r="B549" s="2">
        <v>45704</v>
      </c>
      <c r="C549" t="s">
        <v>17</v>
      </c>
      <c r="D549" t="s">
        <v>23</v>
      </c>
      <c r="E549" t="s">
        <v>24</v>
      </c>
      <c r="F549" t="s">
        <v>29</v>
      </c>
      <c r="G549" t="s">
        <v>30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48.7</v>
      </c>
    </row>
    <row r="550" spans="1:16">
      <c r="A550" t="s">
        <v>600</v>
      </c>
      <c r="B550" s="2">
        <v>45709</v>
      </c>
      <c r="C550" t="s">
        <v>17</v>
      </c>
      <c r="D550" t="s">
        <v>23</v>
      </c>
      <c r="E550" t="s">
        <v>19</v>
      </c>
      <c r="F550" t="s">
        <v>25</v>
      </c>
      <c r="G550" t="s">
        <v>21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47.2</v>
      </c>
    </row>
    <row r="551" spans="1:16">
      <c r="A551" t="s">
        <v>601</v>
      </c>
      <c r="B551" s="2">
        <v>45664</v>
      </c>
      <c r="C551" t="s">
        <v>17</v>
      </c>
      <c r="D551" t="s">
        <v>18</v>
      </c>
      <c r="E551" t="s">
        <v>24</v>
      </c>
      <c r="F551" t="s">
        <v>39</v>
      </c>
      <c r="G551" t="s">
        <v>26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20.3</v>
      </c>
    </row>
    <row r="552" spans="1:16">
      <c r="A552" t="s">
        <v>602</v>
      </c>
      <c r="B552" s="2">
        <v>45722</v>
      </c>
      <c r="C552" t="s">
        <v>17</v>
      </c>
      <c r="D552" t="s">
        <v>23</v>
      </c>
      <c r="E552" t="s">
        <v>24</v>
      </c>
      <c r="F552" t="s">
        <v>29</v>
      </c>
      <c r="G552" t="s">
        <v>26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P552">
        <v>57.8</v>
      </c>
    </row>
    <row r="553" spans="1:16">
      <c r="A553" t="s">
        <v>603</v>
      </c>
      <c r="B553" s="2">
        <v>45746</v>
      </c>
      <c r="C553" t="s">
        <v>17</v>
      </c>
      <c r="D553" t="s">
        <v>28</v>
      </c>
      <c r="E553" t="s">
        <v>24</v>
      </c>
      <c r="F553" t="s">
        <v>20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78.7</v>
      </c>
    </row>
    <row r="554" spans="1:16">
      <c r="A554" t="s">
        <v>604</v>
      </c>
      <c r="B554" s="2">
        <v>45808</v>
      </c>
      <c r="C554" t="s">
        <v>17</v>
      </c>
      <c r="D554" t="s">
        <v>32</v>
      </c>
      <c r="E554" t="s">
        <v>19</v>
      </c>
      <c r="F554" t="s">
        <v>25</v>
      </c>
      <c r="G554" t="s">
        <v>26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63.6</v>
      </c>
    </row>
    <row r="555" spans="1:16">
      <c r="A555" t="s">
        <v>605</v>
      </c>
      <c r="B555" s="2">
        <v>45708</v>
      </c>
      <c r="C555" t="s">
        <v>17</v>
      </c>
      <c r="D555" t="s">
        <v>32</v>
      </c>
      <c r="E555" t="s">
        <v>24</v>
      </c>
      <c r="F555" t="s">
        <v>20</v>
      </c>
      <c r="G555" t="s">
        <v>26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</v>
      </c>
      <c r="N555">
        <v>0</v>
      </c>
      <c r="P555">
        <v>45.1</v>
      </c>
    </row>
    <row r="556" spans="1:16">
      <c r="A556" t="s">
        <v>606</v>
      </c>
      <c r="B556" s="2">
        <v>45670</v>
      </c>
      <c r="C556" t="s">
        <v>17</v>
      </c>
      <c r="D556" t="s">
        <v>23</v>
      </c>
      <c r="E556" t="s">
        <v>24</v>
      </c>
      <c r="F556" t="s">
        <v>41</v>
      </c>
      <c r="G556" t="s">
        <v>26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77.5</v>
      </c>
    </row>
    <row r="557" spans="1:16">
      <c r="A557" t="s">
        <v>607</v>
      </c>
      <c r="B557" s="2">
        <v>45790</v>
      </c>
      <c r="C557" t="s">
        <v>17</v>
      </c>
      <c r="D557" t="s">
        <v>28</v>
      </c>
      <c r="E557" t="s">
        <v>19</v>
      </c>
      <c r="F557" t="s">
        <v>29</v>
      </c>
      <c r="G557" t="s">
        <v>21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58</v>
      </c>
    </row>
    <row r="558" spans="1:16">
      <c r="A558" t="s">
        <v>608</v>
      </c>
      <c r="B558" s="2">
        <v>45768</v>
      </c>
      <c r="C558" t="s">
        <v>17</v>
      </c>
      <c r="D558" t="s">
        <v>32</v>
      </c>
      <c r="E558" t="s">
        <v>34</v>
      </c>
      <c r="F558" t="s">
        <v>25</v>
      </c>
      <c r="G558" t="s">
        <v>26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68.099999999999994</v>
      </c>
    </row>
    <row r="559" spans="1:16">
      <c r="A559" t="s">
        <v>609</v>
      </c>
      <c r="B559" s="2">
        <v>45717</v>
      </c>
      <c r="C559" t="s">
        <v>17</v>
      </c>
      <c r="D559" t="s">
        <v>28</v>
      </c>
      <c r="E559" t="s">
        <v>34</v>
      </c>
      <c r="F559" t="s">
        <v>25</v>
      </c>
      <c r="G559" t="s">
        <v>30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35.4</v>
      </c>
    </row>
    <row r="560" spans="1:16">
      <c r="A560" t="s">
        <v>610</v>
      </c>
      <c r="B560" s="2">
        <v>45726</v>
      </c>
      <c r="C560" t="s">
        <v>17</v>
      </c>
      <c r="D560" t="s">
        <v>23</v>
      </c>
      <c r="E560" t="s">
        <v>34</v>
      </c>
      <c r="F560" t="s">
        <v>25</v>
      </c>
      <c r="G560" t="s">
        <v>26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47</v>
      </c>
    </row>
    <row r="561" spans="1:16">
      <c r="A561" t="s">
        <v>611</v>
      </c>
      <c r="B561" s="2">
        <v>45724</v>
      </c>
      <c r="C561" t="s">
        <v>17</v>
      </c>
      <c r="D561" t="s">
        <v>28</v>
      </c>
      <c r="E561" t="s">
        <v>19</v>
      </c>
      <c r="F561" t="s">
        <v>29</v>
      </c>
      <c r="G561" t="s">
        <v>26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75</v>
      </c>
    </row>
    <row r="562" spans="1:16">
      <c r="A562" t="s">
        <v>612</v>
      </c>
      <c r="B562" s="2">
        <v>45803</v>
      </c>
      <c r="C562" t="s">
        <v>17</v>
      </c>
      <c r="D562" t="s">
        <v>32</v>
      </c>
      <c r="E562" t="s">
        <v>19</v>
      </c>
      <c r="F562" t="s">
        <v>29</v>
      </c>
      <c r="G562" t="s">
        <v>26</v>
      </c>
      <c r="H562">
        <v>1</v>
      </c>
      <c r="I562">
        <v>1</v>
      </c>
      <c r="J562">
        <v>1</v>
      </c>
      <c r="K562">
        <v>0</v>
      </c>
      <c r="L562">
        <v>0</v>
      </c>
      <c r="M562">
        <v>3</v>
      </c>
      <c r="N562">
        <v>0</v>
      </c>
      <c r="P562">
        <v>50.2</v>
      </c>
    </row>
    <row r="563" spans="1:16">
      <c r="A563" t="s">
        <v>613</v>
      </c>
      <c r="B563" s="2">
        <v>45797</v>
      </c>
      <c r="C563" t="s">
        <v>17</v>
      </c>
      <c r="D563" t="s">
        <v>28</v>
      </c>
      <c r="E563" t="s">
        <v>19</v>
      </c>
      <c r="F563" t="s">
        <v>29</v>
      </c>
      <c r="G563" t="s">
        <v>26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40.1</v>
      </c>
    </row>
    <row r="564" spans="1:16">
      <c r="A564" t="s">
        <v>614</v>
      </c>
      <c r="B564" s="2">
        <v>45738</v>
      </c>
      <c r="C564" t="s">
        <v>17</v>
      </c>
      <c r="D564" t="s">
        <v>23</v>
      </c>
      <c r="E564" t="s">
        <v>19</v>
      </c>
      <c r="F564" t="s">
        <v>29</v>
      </c>
      <c r="G564" t="s">
        <v>26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61.1</v>
      </c>
    </row>
    <row r="565" spans="1:16">
      <c r="A565" t="s">
        <v>615</v>
      </c>
      <c r="B565" s="2">
        <v>45703</v>
      </c>
      <c r="C565" t="s">
        <v>17</v>
      </c>
      <c r="D565" t="s">
        <v>32</v>
      </c>
      <c r="E565" t="s">
        <v>19</v>
      </c>
      <c r="F565" t="s">
        <v>29</v>
      </c>
      <c r="G565" t="s">
        <v>26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42.4</v>
      </c>
    </row>
    <row r="566" spans="1:16">
      <c r="A566" t="s">
        <v>616</v>
      </c>
      <c r="B566" s="2">
        <v>45665</v>
      </c>
      <c r="C566" t="s">
        <v>17</v>
      </c>
      <c r="D566" t="s">
        <v>18</v>
      </c>
      <c r="E566" t="s">
        <v>24</v>
      </c>
      <c r="F566" t="s">
        <v>41</v>
      </c>
      <c r="G566" t="s">
        <v>26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46.6</v>
      </c>
    </row>
    <row r="567" spans="1:16">
      <c r="A567" t="s">
        <v>617</v>
      </c>
      <c r="B567" s="2">
        <v>45686</v>
      </c>
      <c r="C567" t="s">
        <v>17</v>
      </c>
      <c r="D567" t="s">
        <v>32</v>
      </c>
      <c r="E567" t="s">
        <v>24</v>
      </c>
      <c r="F567" t="s">
        <v>25</v>
      </c>
      <c r="G567" t="s">
        <v>30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72.099999999999994</v>
      </c>
    </row>
    <row r="568" spans="1:16">
      <c r="A568" t="s">
        <v>618</v>
      </c>
      <c r="B568" s="2">
        <v>45784</v>
      </c>
      <c r="C568" t="s">
        <v>17</v>
      </c>
      <c r="D568" t="s">
        <v>28</v>
      </c>
      <c r="E568" t="s">
        <v>34</v>
      </c>
      <c r="F568" t="s">
        <v>25</v>
      </c>
      <c r="G568" t="s">
        <v>26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21.5</v>
      </c>
    </row>
    <row r="569" spans="1:16">
      <c r="A569" t="s">
        <v>619</v>
      </c>
      <c r="B569" s="2">
        <v>45717</v>
      </c>
      <c r="C569" t="s">
        <v>17</v>
      </c>
      <c r="D569" t="s">
        <v>18</v>
      </c>
      <c r="E569" t="s">
        <v>24</v>
      </c>
      <c r="F569" t="s">
        <v>41</v>
      </c>
      <c r="G569" t="s">
        <v>21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P569">
        <v>65.400000000000006</v>
      </c>
    </row>
    <row r="570" spans="1:16">
      <c r="A570" t="s">
        <v>620</v>
      </c>
      <c r="B570" s="2">
        <v>45767</v>
      </c>
      <c r="C570" t="s">
        <v>17</v>
      </c>
      <c r="D570" t="s">
        <v>28</v>
      </c>
      <c r="E570" t="s">
        <v>24</v>
      </c>
      <c r="F570" t="s">
        <v>25</v>
      </c>
      <c r="G570" t="s">
        <v>26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53.3</v>
      </c>
    </row>
    <row r="571" spans="1:16">
      <c r="A571" t="s">
        <v>621</v>
      </c>
      <c r="B571" s="2">
        <v>45673</v>
      </c>
      <c r="C571" t="s">
        <v>17</v>
      </c>
      <c r="D571" t="s">
        <v>28</v>
      </c>
      <c r="E571" t="s">
        <v>24</v>
      </c>
      <c r="F571" t="s">
        <v>25</v>
      </c>
      <c r="G571" t="s">
        <v>30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52.3</v>
      </c>
    </row>
    <row r="572" spans="1:16">
      <c r="A572" t="s">
        <v>622</v>
      </c>
      <c r="B572" s="2">
        <v>45751</v>
      </c>
      <c r="C572" t="s">
        <v>17</v>
      </c>
      <c r="D572" t="s">
        <v>28</v>
      </c>
      <c r="E572" t="s">
        <v>24</v>
      </c>
      <c r="F572" t="s">
        <v>29</v>
      </c>
      <c r="G572" t="s">
        <v>26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62.5</v>
      </c>
    </row>
    <row r="573" spans="1:16">
      <c r="A573" t="s">
        <v>623</v>
      </c>
      <c r="B573" s="2">
        <v>45686</v>
      </c>
      <c r="C573" t="s">
        <v>17</v>
      </c>
      <c r="D573" t="s">
        <v>18</v>
      </c>
      <c r="E573" t="s">
        <v>34</v>
      </c>
      <c r="F573" t="s">
        <v>41</v>
      </c>
      <c r="G573" t="s">
        <v>26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69.8</v>
      </c>
    </row>
    <row r="574" spans="1:16">
      <c r="A574" t="s">
        <v>624</v>
      </c>
      <c r="B574" s="2">
        <v>45766</v>
      </c>
      <c r="C574" t="s">
        <v>17</v>
      </c>
      <c r="D574" t="s">
        <v>28</v>
      </c>
      <c r="E574" t="s">
        <v>24</v>
      </c>
      <c r="F574" t="s">
        <v>20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68.2</v>
      </c>
    </row>
    <row r="575" spans="1:16">
      <c r="A575" t="s">
        <v>626</v>
      </c>
      <c r="B575" s="2">
        <v>45787</v>
      </c>
      <c r="C575" t="s">
        <v>17</v>
      </c>
      <c r="D575" t="s">
        <v>32</v>
      </c>
      <c r="E575" t="s">
        <v>24</v>
      </c>
      <c r="F575" t="s">
        <v>41</v>
      </c>
      <c r="G575" t="s">
        <v>21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59.3</v>
      </c>
    </row>
    <row r="576" spans="1:16">
      <c r="A576" t="s">
        <v>627</v>
      </c>
      <c r="B576" s="2">
        <v>45690</v>
      </c>
      <c r="C576" t="s">
        <v>17</v>
      </c>
      <c r="D576" t="s">
        <v>18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68.099999999999994</v>
      </c>
    </row>
    <row r="577" spans="1:16">
      <c r="A577" t="s">
        <v>628</v>
      </c>
      <c r="B577" s="2">
        <v>45783</v>
      </c>
      <c r="C577" t="s">
        <v>17</v>
      </c>
      <c r="D577" t="s">
        <v>18</v>
      </c>
      <c r="E577" t="s">
        <v>19</v>
      </c>
      <c r="F577" t="s">
        <v>25</v>
      </c>
      <c r="G577" t="s">
        <v>26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74.8</v>
      </c>
    </row>
    <row r="578" spans="1:16">
      <c r="A578" t="s">
        <v>629</v>
      </c>
      <c r="B578" s="2">
        <v>45676</v>
      </c>
      <c r="C578" t="s">
        <v>17</v>
      </c>
      <c r="D578" t="s">
        <v>23</v>
      </c>
      <c r="E578" t="s">
        <v>19</v>
      </c>
      <c r="F578" t="s">
        <v>25</v>
      </c>
      <c r="G578" t="s">
        <v>26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P578">
        <v>61.7</v>
      </c>
    </row>
    <row r="579" spans="1:16">
      <c r="A579" t="s">
        <v>630</v>
      </c>
      <c r="B579" s="2">
        <v>45659</v>
      </c>
      <c r="C579" t="s">
        <v>17</v>
      </c>
      <c r="D579" t="s">
        <v>18</v>
      </c>
      <c r="E579" t="s">
        <v>24</v>
      </c>
      <c r="F579" t="s">
        <v>25</v>
      </c>
      <c r="G579" t="s">
        <v>26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24.3</v>
      </c>
    </row>
    <row r="580" spans="1:16">
      <c r="A580" t="s">
        <v>631</v>
      </c>
      <c r="B580" s="2">
        <v>45780</v>
      </c>
      <c r="C580" t="s">
        <v>17</v>
      </c>
      <c r="D580" t="s">
        <v>32</v>
      </c>
      <c r="E580" t="s">
        <v>19</v>
      </c>
      <c r="F580" t="s">
        <v>29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P580">
        <v>61.9</v>
      </c>
    </row>
    <row r="581" spans="1:16">
      <c r="A581" t="s">
        <v>632</v>
      </c>
      <c r="B581" s="2">
        <v>45804</v>
      </c>
      <c r="C581" t="s">
        <v>17</v>
      </c>
      <c r="D581" t="s">
        <v>28</v>
      </c>
      <c r="E581" t="s">
        <v>19</v>
      </c>
      <c r="F581" t="s">
        <v>39</v>
      </c>
      <c r="G581" t="s">
        <v>30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P581">
        <v>41.7</v>
      </c>
    </row>
    <row r="582" spans="1:16">
      <c r="A582" t="s">
        <v>633</v>
      </c>
      <c r="B582" s="2">
        <v>45697</v>
      </c>
      <c r="C582" t="s">
        <v>17</v>
      </c>
      <c r="D582" t="s">
        <v>32</v>
      </c>
      <c r="E582" t="s">
        <v>19</v>
      </c>
      <c r="F582" t="s">
        <v>41</v>
      </c>
      <c r="G582" t="s">
        <v>26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87.6</v>
      </c>
    </row>
    <row r="583" spans="1:16">
      <c r="A583" t="s">
        <v>634</v>
      </c>
      <c r="B583" s="2">
        <v>45795</v>
      </c>
      <c r="C583" t="s">
        <v>17</v>
      </c>
      <c r="D583" t="s">
        <v>28</v>
      </c>
      <c r="E583" t="s">
        <v>24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30.8</v>
      </c>
    </row>
    <row r="584" spans="1:16">
      <c r="A584" t="s">
        <v>635</v>
      </c>
      <c r="B584" s="2">
        <v>45794</v>
      </c>
      <c r="C584" t="s">
        <v>17</v>
      </c>
      <c r="D584" t="s">
        <v>18</v>
      </c>
      <c r="E584" t="s">
        <v>24</v>
      </c>
      <c r="F584" t="s">
        <v>20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54</v>
      </c>
    </row>
    <row r="585" spans="1:16">
      <c r="A585" t="s">
        <v>636</v>
      </c>
      <c r="B585" s="2">
        <v>45682</v>
      </c>
      <c r="C585" t="s">
        <v>17</v>
      </c>
      <c r="D585" t="s">
        <v>28</v>
      </c>
      <c r="E585" t="s">
        <v>19</v>
      </c>
      <c r="F585" t="s">
        <v>39</v>
      </c>
      <c r="G585" t="s">
        <v>21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P585">
        <v>54.5</v>
      </c>
    </row>
    <row r="586" spans="1:16">
      <c r="A586" t="s">
        <v>637</v>
      </c>
      <c r="B586" s="2">
        <v>45781</v>
      </c>
      <c r="C586" t="s">
        <v>17</v>
      </c>
      <c r="D586" t="s">
        <v>23</v>
      </c>
      <c r="E586" t="s">
        <v>24</v>
      </c>
      <c r="F586" t="s">
        <v>29</v>
      </c>
      <c r="G586" t="s">
        <v>30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61.3</v>
      </c>
    </row>
    <row r="587" spans="1:16">
      <c r="A587" t="s">
        <v>638</v>
      </c>
      <c r="B587" s="2">
        <v>45761</v>
      </c>
      <c r="C587" t="s">
        <v>17</v>
      </c>
      <c r="D587" t="s">
        <v>23</v>
      </c>
      <c r="E587" t="s">
        <v>24</v>
      </c>
      <c r="F587" t="s">
        <v>25</v>
      </c>
      <c r="G587" t="s">
        <v>26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62.7</v>
      </c>
    </row>
    <row r="588" spans="1:16">
      <c r="A588" t="s">
        <v>639</v>
      </c>
      <c r="B588" s="2">
        <v>45765</v>
      </c>
      <c r="C588" t="s">
        <v>17</v>
      </c>
      <c r="D588" t="s">
        <v>32</v>
      </c>
      <c r="E588" t="s">
        <v>24</v>
      </c>
      <c r="F588" t="s">
        <v>29</v>
      </c>
      <c r="G588" t="s">
        <v>26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43.1</v>
      </c>
    </row>
    <row r="589" spans="1:16">
      <c r="A589" t="s">
        <v>640</v>
      </c>
      <c r="B589" s="2">
        <v>45712</v>
      </c>
      <c r="C589" t="s">
        <v>17</v>
      </c>
      <c r="D589" t="s">
        <v>32</v>
      </c>
      <c r="E589" t="s">
        <v>19</v>
      </c>
      <c r="F589" t="s">
        <v>20</v>
      </c>
      <c r="G589" t="s">
        <v>21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59.9</v>
      </c>
    </row>
    <row r="590" spans="1:16">
      <c r="A590" t="s">
        <v>641</v>
      </c>
      <c r="B590" s="2">
        <v>45766</v>
      </c>
      <c r="C590" t="s">
        <v>17</v>
      </c>
      <c r="D590" t="s">
        <v>18</v>
      </c>
      <c r="E590" t="s">
        <v>34</v>
      </c>
      <c r="F590" t="s">
        <v>29</v>
      </c>
      <c r="G590" t="s">
        <v>26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P590">
        <v>55.7</v>
      </c>
    </row>
    <row r="591" spans="1:16">
      <c r="A591" t="s">
        <v>642</v>
      </c>
      <c r="B591" s="2">
        <v>45723</v>
      </c>
      <c r="C591" t="s">
        <v>17</v>
      </c>
      <c r="D591" t="s">
        <v>32</v>
      </c>
      <c r="E591" t="s">
        <v>19</v>
      </c>
      <c r="F591" t="s">
        <v>25</v>
      </c>
      <c r="G591" t="s">
        <v>21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37.1</v>
      </c>
    </row>
    <row r="592" spans="1:16">
      <c r="A592" t="s">
        <v>643</v>
      </c>
      <c r="B592" s="2">
        <v>45725</v>
      </c>
      <c r="C592" t="s">
        <v>17</v>
      </c>
      <c r="D592" t="s">
        <v>28</v>
      </c>
      <c r="E592" t="s">
        <v>24</v>
      </c>
      <c r="F592" t="s">
        <v>25</v>
      </c>
      <c r="G592" t="s">
        <v>21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P592">
        <v>46.7</v>
      </c>
    </row>
    <row r="593" spans="1:16">
      <c r="A593" t="s">
        <v>644</v>
      </c>
      <c r="B593" s="2">
        <v>45778</v>
      </c>
      <c r="C593" t="s">
        <v>17</v>
      </c>
      <c r="D593" t="s">
        <v>32</v>
      </c>
      <c r="E593" t="s">
        <v>19</v>
      </c>
      <c r="F593" t="s">
        <v>25</v>
      </c>
      <c r="G593" t="s">
        <v>21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54.1</v>
      </c>
    </row>
    <row r="594" spans="1:16">
      <c r="A594" t="s">
        <v>645</v>
      </c>
      <c r="B594" s="2">
        <v>45697</v>
      </c>
      <c r="C594" t="s">
        <v>17</v>
      </c>
      <c r="D594" t="s">
        <v>23</v>
      </c>
      <c r="E594" t="s">
        <v>19</v>
      </c>
      <c r="F594" t="s">
        <v>25</v>
      </c>
      <c r="G594" t="s">
        <v>30</v>
      </c>
      <c r="H594">
        <v>1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P594">
        <v>56.1</v>
      </c>
    </row>
    <row r="595" spans="1:16">
      <c r="A595" t="s">
        <v>646</v>
      </c>
      <c r="B595" s="2">
        <v>45799</v>
      </c>
      <c r="C595" t="s">
        <v>17</v>
      </c>
      <c r="D595" t="s">
        <v>23</v>
      </c>
      <c r="E595" t="s">
        <v>24</v>
      </c>
      <c r="F595" t="s">
        <v>39</v>
      </c>
      <c r="G595" t="s">
        <v>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23.6</v>
      </c>
    </row>
    <row r="596" spans="1:16">
      <c r="A596" t="s">
        <v>647</v>
      </c>
      <c r="B596" s="2">
        <v>45699</v>
      </c>
      <c r="C596" t="s">
        <v>17</v>
      </c>
      <c r="D596" t="s">
        <v>18</v>
      </c>
      <c r="E596" t="s">
        <v>24</v>
      </c>
      <c r="F596" t="s">
        <v>25</v>
      </c>
      <c r="G596" t="s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54.7</v>
      </c>
    </row>
    <row r="597" spans="1:16">
      <c r="A597" t="s">
        <v>648</v>
      </c>
      <c r="B597" s="2">
        <v>45759</v>
      </c>
      <c r="C597" t="s">
        <v>17</v>
      </c>
      <c r="D597" t="s">
        <v>18</v>
      </c>
      <c r="E597" t="s">
        <v>24</v>
      </c>
      <c r="F597" t="s">
        <v>39</v>
      </c>
      <c r="G597" t="s">
        <v>21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0</v>
      </c>
      <c r="P597">
        <v>50.4</v>
      </c>
    </row>
    <row r="598" spans="1:16">
      <c r="A598" t="s">
        <v>649</v>
      </c>
      <c r="B598" s="2">
        <v>45717</v>
      </c>
      <c r="C598" t="s">
        <v>17</v>
      </c>
      <c r="D598" t="s">
        <v>23</v>
      </c>
      <c r="E598" t="s">
        <v>24</v>
      </c>
      <c r="F598" t="s">
        <v>41</v>
      </c>
      <c r="G598" t="s">
        <v>26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54.5</v>
      </c>
    </row>
    <row r="599" spans="1:16">
      <c r="A599" t="s">
        <v>650</v>
      </c>
      <c r="B599" s="2">
        <v>45733</v>
      </c>
      <c r="C599" t="s">
        <v>17</v>
      </c>
      <c r="D599" t="s">
        <v>23</v>
      </c>
      <c r="E599" t="s">
        <v>19</v>
      </c>
      <c r="F599" t="s">
        <v>20</v>
      </c>
      <c r="G599" t="s">
        <v>21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58</v>
      </c>
    </row>
    <row r="600" spans="1:16">
      <c r="A600" t="s">
        <v>651</v>
      </c>
      <c r="B600" s="2">
        <v>45668</v>
      </c>
      <c r="C600" t="s">
        <v>17</v>
      </c>
      <c r="D600" t="s">
        <v>18</v>
      </c>
      <c r="E600" t="s">
        <v>24</v>
      </c>
      <c r="F600" t="s">
        <v>29</v>
      </c>
      <c r="G600" t="s">
        <v>26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42.9</v>
      </c>
    </row>
    <row r="601" spans="1:16">
      <c r="A601" t="s">
        <v>652</v>
      </c>
      <c r="B601" s="2">
        <v>45705</v>
      </c>
      <c r="C601" t="s">
        <v>17</v>
      </c>
      <c r="D601" t="s">
        <v>32</v>
      </c>
      <c r="E601" t="s">
        <v>24</v>
      </c>
      <c r="F601" t="s">
        <v>41</v>
      </c>
      <c r="G601" t="s">
        <v>30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51.1</v>
      </c>
    </row>
    <row r="602" spans="1:16">
      <c r="A602" t="s">
        <v>653</v>
      </c>
      <c r="B602" s="2">
        <v>45741</v>
      </c>
      <c r="C602" t="s">
        <v>17</v>
      </c>
      <c r="D602" t="s">
        <v>28</v>
      </c>
      <c r="E602" t="s">
        <v>24</v>
      </c>
      <c r="F602" t="s">
        <v>29</v>
      </c>
      <c r="G602" t="s">
        <v>21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51.8</v>
      </c>
    </row>
    <row r="603" spans="1:16">
      <c r="A603" t="s">
        <v>654</v>
      </c>
      <c r="B603" s="2">
        <v>45778</v>
      </c>
      <c r="C603" t="s">
        <v>17</v>
      </c>
      <c r="D603" t="s">
        <v>32</v>
      </c>
      <c r="E603" t="s">
        <v>24</v>
      </c>
      <c r="F603" t="s">
        <v>29</v>
      </c>
      <c r="G603" t="s">
        <v>26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67.7</v>
      </c>
    </row>
    <row r="604" spans="1:16">
      <c r="A604" t="s">
        <v>655</v>
      </c>
      <c r="B604" s="2">
        <v>45749</v>
      </c>
      <c r="C604" t="s">
        <v>17</v>
      </c>
      <c r="D604" t="s">
        <v>28</v>
      </c>
      <c r="E604" t="s">
        <v>24</v>
      </c>
      <c r="F604" t="s">
        <v>25</v>
      </c>
      <c r="G604" t="s">
        <v>21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75.8</v>
      </c>
    </row>
    <row r="605" spans="1:16">
      <c r="A605" t="s">
        <v>656</v>
      </c>
      <c r="B605" s="2">
        <v>45752</v>
      </c>
      <c r="C605" t="s">
        <v>17</v>
      </c>
      <c r="D605" t="s">
        <v>28</v>
      </c>
      <c r="E605" t="s">
        <v>24</v>
      </c>
      <c r="F605" t="s">
        <v>20</v>
      </c>
      <c r="G605" t="s">
        <v>26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72.8</v>
      </c>
    </row>
    <row r="606" spans="1:16">
      <c r="A606" t="s">
        <v>657</v>
      </c>
      <c r="B606" s="2">
        <v>45712</v>
      </c>
      <c r="C606" t="s">
        <v>17</v>
      </c>
      <c r="D606" t="s">
        <v>18</v>
      </c>
      <c r="E606" t="s">
        <v>19</v>
      </c>
      <c r="F606" t="s">
        <v>41</v>
      </c>
      <c r="G606" t="s">
        <v>26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54.4</v>
      </c>
    </row>
    <row r="607" spans="1:16">
      <c r="A607" t="s">
        <v>658</v>
      </c>
      <c r="B607" s="2">
        <v>45681</v>
      </c>
      <c r="C607" t="s">
        <v>17</v>
      </c>
      <c r="D607" t="s">
        <v>23</v>
      </c>
      <c r="E607" t="s">
        <v>24</v>
      </c>
      <c r="F607" t="s">
        <v>29</v>
      </c>
      <c r="G607" t="s">
        <v>21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51.8</v>
      </c>
    </row>
    <row r="608" spans="1:16">
      <c r="A608" t="s">
        <v>659</v>
      </c>
      <c r="B608" s="2">
        <v>45757</v>
      </c>
      <c r="C608" t="s">
        <v>17</v>
      </c>
      <c r="D608" t="s">
        <v>32</v>
      </c>
      <c r="E608" t="s">
        <v>24</v>
      </c>
      <c r="F608" t="s">
        <v>29</v>
      </c>
      <c r="G608" t="s">
        <v>26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40.299999999999997</v>
      </c>
    </row>
    <row r="609" spans="1:16">
      <c r="A609" t="s">
        <v>660</v>
      </c>
      <c r="B609" s="2">
        <v>45707</v>
      </c>
      <c r="C609" t="s">
        <v>17</v>
      </c>
      <c r="D609" t="s">
        <v>32</v>
      </c>
      <c r="E609" t="s">
        <v>24</v>
      </c>
      <c r="F609" t="s">
        <v>39</v>
      </c>
      <c r="G609" t="s">
        <v>26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P609">
        <v>61.7</v>
      </c>
    </row>
    <row r="610" spans="1:16">
      <c r="A610" t="s">
        <v>661</v>
      </c>
      <c r="B610" s="2">
        <v>45738</v>
      </c>
      <c r="C610" t="s">
        <v>17</v>
      </c>
      <c r="D610" t="s">
        <v>18</v>
      </c>
      <c r="E610" t="s">
        <v>24</v>
      </c>
      <c r="F610" t="s">
        <v>41</v>
      </c>
      <c r="G610" t="s">
        <v>26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45</v>
      </c>
    </row>
    <row r="611" spans="1:16">
      <c r="A611" t="s">
        <v>662</v>
      </c>
      <c r="B611" s="2">
        <v>45755</v>
      </c>
      <c r="C611" t="s">
        <v>17</v>
      </c>
      <c r="D611" t="s">
        <v>28</v>
      </c>
      <c r="E611" t="s">
        <v>19</v>
      </c>
      <c r="F611" t="s">
        <v>25</v>
      </c>
      <c r="G611" t="s">
        <v>30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60</v>
      </c>
    </row>
    <row r="612" spans="1:16">
      <c r="A612" t="s">
        <v>663</v>
      </c>
      <c r="B612" s="2">
        <v>45732</v>
      </c>
      <c r="C612" t="s">
        <v>17</v>
      </c>
      <c r="D612" t="s">
        <v>18</v>
      </c>
      <c r="E612" t="s">
        <v>24</v>
      </c>
      <c r="F612" t="s">
        <v>41</v>
      </c>
      <c r="G612" t="s">
        <v>26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6">
      <c r="A613" t="s">
        <v>664</v>
      </c>
      <c r="B613" s="2">
        <v>45723</v>
      </c>
      <c r="C613" t="s">
        <v>17</v>
      </c>
      <c r="D613" t="s">
        <v>28</v>
      </c>
      <c r="E613" t="s">
        <v>24</v>
      </c>
      <c r="F613" t="s">
        <v>29</v>
      </c>
      <c r="G613" t="s">
        <v>26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55.5</v>
      </c>
    </row>
    <row r="614" spans="1:16">
      <c r="A614" t="s">
        <v>665</v>
      </c>
      <c r="B614" s="2">
        <v>45732</v>
      </c>
      <c r="C614" t="s">
        <v>17</v>
      </c>
      <c r="D614" t="s">
        <v>32</v>
      </c>
      <c r="E614" t="s">
        <v>24</v>
      </c>
      <c r="F614" t="s">
        <v>39</v>
      </c>
      <c r="G614" t="s">
        <v>21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51.8</v>
      </c>
    </row>
    <row r="615" spans="1:16">
      <c r="A615" t="s">
        <v>666</v>
      </c>
      <c r="B615" s="2">
        <v>45803</v>
      </c>
      <c r="C615" t="s">
        <v>17</v>
      </c>
      <c r="D615" t="s">
        <v>28</v>
      </c>
      <c r="E615" t="s">
        <v>24</v>
      </c>
      <c r="G615" t="s">
        <v>30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3</v>
      </c>
      <c r="N615">
        <v>0</v>
      </c>
      <c r="P615">
        <v>56</v>
      </c>
    </row>
    <row r="616" spans="1:16">
      <c r="A616" t="s">
        <v>667</v>
      </c>
      <c r="B616" s="2">
        <v>45671</v>
      </c>
      <c r="C616" t="s">
        <v>17</v>
      </c>
      <c r="D616" t="s">
        <v>23</v>
      </c>
      <c r="E616" t="s">
        <v>24</v>
      </c>
      <c r="F616" t="s">
        <v>25</v>
      </c>
      <c r="G616" t="s">
        <v>26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52.5</v>
      </c>
    </row>
    <row r="617" spans="1:16">
      <c r="A617" t="s">
        <v>668</v>
      </c>
      <c r="B617" s="2">
        <v>45746</v>
      </c>
      <c r="C617" t="s">
        <v>17</v>
      </c>
      <c r="D617" t="s">
        <v>23</v>
      </c>
      <c r="E617" t="s">
        <v>24</v>
      </c>
      <c r="F617" t="s">
        <v>29</v>
      </c>
      <c r="G617" t="s">
        <v>30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42.5</v>
      </c>
    </row>
    <row r="618" spans="1:16">
      <c r="A618" t="s">
        <v>669</v>
      </c>
      <c r="B618" s="2">
        <v>45789</v>
      </c>
      <c r="C618" t="s">
        <v>17</v>
      </c>
      <c r="D618" t="s">
        <v>28</v>
      </c>
      <c r="E618" t="s">
        <v>19</v>
      </c>
      <c r="F618" t="s">
        <v>20</v>
      </c>
      <c r="G618" t="s">
        <v>26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P618">
        <v>65.3</v>
      </c>
    </row>
    <row r="619" spans="1:16">
      <c r="A619" t="s">
        <v>670</v>
      </c>
      <c r="B619" s="2">
        <v>45787</v>
      </c>
      <c r="C619" t="s">
        <v>17</v>
      </c>
      <c r="D619" t="s">
        <v>23</v>
      </c>
      <c r="E619" t="s">
        <v>24</v>
      </c>
      <c r="F619" t="s">
        <v>29</v>
      </c>
      <c r="G619" t="s">
        <v>26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37.6</v>
      </c>
    </row>
    <row r="620" spans="1:16">
      <c r="A620" t="s">
        <v>671</v>
      </c>
      <c r="B620" s="2">
        <v>45756</v>
      </c>
      <c r="C620" t="s">
        <v>17</v>
      </c>
      <c r="D620" t="s">
        <v>28</v>
      </c>
      <c r="E620" t="s">
        <v>24</v>
      </c>
      <c r="F620" t="s">
        <v>41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57.8</v>
      </c>
    </row>
    <row r="621" spans="1:16">
      <c r="A621" t="s">
        <v>672</v>
      </c>
      <c r="B621" s="2">
        <v>45803</v>
      </c>
      <c r="C621" t="s">
        <v>17</v>
      </c>
      <c r="D621" t="s">
        <v>18</v>
      </c>
      <c r="E621" t="s">
        <v>24</v>
      </c>
      <c r="F621" t="s">
        <v>41</v>
      </c>
      <c r="G621" t="s">
        <v>26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52.7</v>
      </c>
    </row>
    <row r="622" spans="1:16">
      <c r="A622" t="s">
        <v>673</v>
      </c>
      <c r="B622" s="2">
        <v>45700</v>
      </c>
      <c r="C622" t="s">
        <v>17</v>
      </c>
      <c r="D622" t="s">
        <v>18</v>
      </c>
      <c r="E622" t="s">
        <v>24</v>
      </c>
      <c r="F622" t="s">
        <v>25</v>
      </c>
      <c r="G622" t="s">
        <v>26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51.7</v>
      </c>
    </row>
    <row r="623" spans="1:16">
      <c r="A623" t="s">
        <v>674</v>
      </c>
      <c r="B623" s="2">
        <v>45748</v>
      </c>
      <c r="C623" t="s">
        <v>17</v>
      </c>
      <c r="D623" t="s">
        <v>18</v>
      </c>
      <c r="E623" t="s">
        <v>19</v>
      </c>
      <c r="F623" t="s">
        <v>20</v>
      </c>
      <c r="G623" t="s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57</v>
      </c>
    </row>
    <row r="624" spans="1:16">
      <c r="A624" t="s">
        <v>675</v>
      </c>
      <c r="B624" s="2">
        <v>45675</v>
      </c>
      <c r="C624" t="s">
        <v>17</v>
      </c>
      <c r="D624" t="s">
        <v>32</v>
      </c>
      <c r="E624" t="s">
        <v>19</v>
      </c>
      <c r="F624" t="s">
        <v>25</v>
      </c>
      <c r="G624" t="s">
        <v>21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39.5</v>
      </c>
    </row>
    <row r="625" spans="1:16">
      <c r="A625" t="s">
        <v>676</v>
      </c>
      <c r="B625" s="2">
        <v>45753</v>
      </c>
      <c r="C625" t="s">
        <v>17</v>
      </c>
      <c r="D625" t="s">
        <v>28</v>
      </c>
      <c r="E625" t="s">
        <v>34</v>
      </c>
      <c r="F625" t="s">
        <v>25</v>
      </c>
      <c r="G625" t="s">
        <v>26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76.5</v>
      </c>
    </row>
    <row r="626" spans="1:16">
      <c r="A626" t="s">
        <v>677</v>
      </c>
      <c r="B626" s="2">
        <v>45764</v>
      </c>
      <c r="C626" t="s">
        <v>17</v>
      </c>
      <c r="D626" t="s">
        <v>28</v>
      </c>
      <c r="E626" t="s">
        <v>24</v>
      </c>
      <c r="F626" t="s">
        <v>25</v>
      </c>
      <c r="G626" t="s">
        <v>26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32.4</v>
      </c>
    </row>
    <row r="627" spans="1:16">
      <c r="A627" t="s">
        <v>678</v>
      </c>
      <c r="B627" s="2">
        <v>45695</v>
      </c>
      <c r="C627" t="s">
        <v>17</v>
      </c>
      <c r="D627" t="s">
        <v>18</v>
      </c>
      <c r="E627" t="s">
        <v>19</v>
      </c>
      <c r="F627" t="s">
        <v>29</v>
      </c>
      <c r="G627" t="s">
        <v>26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58.6</v>
      </c>
    </row>
    <row r="628" spans="1:16">
      <c r="A628" t="s">
        <v>679</v>
      </c>
      <c r="B628" s="2">
        <v>45720</v>
      </c>
      <c r="C628" t="s">
        <v>17</v>
      </c>
      <c r="D628" t="s">
        <v>28</v>
      </c>
      <c r="E628" t="s">
        <v>24</v>
      </c>
      <c r="F628" t="s">
        <v>25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78.599999999999994</v>
      </c>
    </row>
    <row r="629" spans="1:16">
      <c r="A629" t="s">
        <v>680</v>
      </c>
      <c r="B629" s="2">
        <v>45705</v>
      </c>
      <c r="C629" t="s">
        <v>17</v>
      </c>
      <c r="D629" t="s">
        <v>18</v>
      </c>
      <c r="E629" t="s">
        <v>19</v>
      </c>
      <c r="F629" t="s">
        <v>25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54.5</v>
      </c>
    </row>
    <row r="630" spans="1:16">
      <c r="A630" t="s">
        <v>681</v>
      </c>
      <c r="B630" s="2">
        <v>45783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57.6</v>
      </c>
    </row>
    <row r="631" spans="1:16">
      <c r="A631" t="s">
        <v>682</v>
      </c>
      <c r="B631" s="2">
        <v>45741</v>
      </c>
      <c r="C631" t="s">
        <v>17</v>
      </c>
      <c r="D631" t="s">
        <v>32</v>
      </c>
      <c r="E631" t="s">
        <v>24</v>
      </c>
      <c r="F631" t="s">
        <v>39</v>
      </c>
      <c r="G631" t="s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52.8</v>
      </c>
    </row>
    <row r="632" spans="1:16">
      <c r="A632" t="s">
        <v>683</v>
      </c>
      <c r="B632" s="2">
        <v>45720</v>
      </c>
      <c r="C632" t="s">
        <v>17</v>
      </c>
      <c r="D632" t="s">
        <v>23</v>
      </c>
      <c r="E632" t="s">
        <v>24</v>
      </c>
      <c r="F632" t="s">
        <v>20</v>
      </c>
      <c r="G632" t="s">
        <v>30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52.9</v>
      </c>
    </row>
    <row r="633" spans="1:16">
      <c r="A633" t="s">
        <v>684</v>
      </c>
      <c r="B633" s="2">
        <v>45786</v>
      </c>
      <c r="C633" t="s">
        <v>17</v>
      </c>
      <c r="D633" t="s">
        <v>23</v>
      </c>
      <c r="E633" t="s">
        <v>24</v>
      </c>
      <c r="F633" t="s">
        <v>25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P633">
        <v>55.9</v>
      </c>
    </row>
    <row r="634" spans="1:16">
      <c r="A634" t="s">
        <v>685</v>
      </c>
      <c r="B634" s="2">
        <v>45794</v>
      </c>
      <c r="C634" t="s">
        <v>17</v>
      </c>
      <c r="D634" t="s">
        <v>23</v>
      </c>
      <c r="E634" t="s">
        <v>24</v>
      </c>
      <c r="F634" t="s">
        <v>39</v>
      </c>
      <c r="G634" t="s">
        <v>30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74.2</v>
      </c>
    </row>
    <row r="635" spans="1:16">
      <c r="A635" t="s">
        <v>686</v>
      </c>
      <c r="B635" s="2">
        <v>45669</v>
      </c>
      <c r="C635" t="s">
        <v>17</v>
      </c>
      <c r="D635" t="s">
        <v>23</v>
      </c>
      <c r="E635" t="s">
        <v>24</v>
      </c>
      <c r="F635" t="s">
        <v>25</v>
      </c>
      <c r="G635" t="s">
        <v>26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46.3</v>
      </c>
    </row>
    <row r="636" spans="1:16">
      <c r="A636" t="s">
        <v>687</v>
      </c>
      <c r="B636" s="2">
        <v>45728</v>
      </c>
      <c r="C636" t="s">
        <v>17</v>
      </c>
      <c r="D636" t="s">
        <v>23</v>
      </c>
      <c r="E636" t="s">
        <v>24</v>
      </c>
      <c r="F636" t="s">
        <v>25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P636">
        <v>62</v>
      </c>
    </row>
    <row r="637" spans="1:16">
      <c r="A637" t="s">
        <v>688</v>
      </c>
      <c r="B637" s="2">
        <v>45749</v>
      </c>
      <c r="C637" t="s">
        <v>17</v>
      </c>
      <c r="D637" t="s">
        <v>32</v>
      </c>
      <c r="E637" t="s">
        <v>24</v>
      </c>
      <c r="F637" t="s">
        <v>25</v>
      </c>
      <c r="G637" t="s">
        <v>21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55.6</v>
      </c>
    </row>
    <row r="638" spans="1:16">
      <c r="A638" t="s">
        <v>689</v>
      </c>
      <c r="B638" s="2">
        <v>45670</v>
      </c>
      <c r="C638" t="s">
        <v>17</v>
      </c>
      <c r="D638" t="s">
        <v>32</v>
      </c>
      <c r="E638" t="s">
        <v>24</v>
      </c>
      <c r="F638" t="s">
        <v>25</v>
      </c>
      <c r="G638" t="s">
        <v>21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62.8</v>
      </c>
    </row>
    <row r="639" spans="1:16">
      <c r="A639" t="s">
        <v>690</v>
      </c>
      <c r="B639" s="2">
        <v>45723</v>
      </c>
      <c r="C639" t="s">
        <v>17</v>
      </c>
      <c r="D639" t="s">
        <v>28</v>
      </c>
      <c r="E639" t="s">
        <v>24</v>
      </c>
      <c r="F639" t="s">
        <v>39</v>
      </c>
      <c r="G639" t="s">
        <v>26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73.099999999999994</v>
      </c>
    </row>
    <row r="640" spans="1:16">
      <c r="A640" t="s">
        <v>692</v>
      </c>
      <c r="B640" s="2">
        <v>45664</v>
      </c>
      <c r="C640" t="s">
        <v>17</v>
      </c>
      <c r="D640" t="s">
        <v>32</v>
      </c>
      <c r="E640" t="s">
        <v>24</v>
      </c>
      <c r="F640" t="s">
        <v>29</v>
      </c>
      <c r="G640" t="s">
        <v>26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67.900000000000006</v>
      </c>
    </row>
    <row r="641" spans="1:16">
      <c r="A641" t="s">
        <v>693</v>
      </c>
      <c r="B641" s="2">
        <v>45770</v>
      </c>
      <c r="C641" t="s">
        <v>17</v>
      </c>
      <c r="D641" t="s">
        <v>32</v>
      </c>
      <c r="E641" t="s">
        <v>24</v>
      </c>
      <c r="F641" t="s">
        <v>39</v>
      </c>
      <c r="G641" t="s">
        <v>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50.1</v>
      </c>
    </row>
    <row r="642" spans="1:16">
      <c r="A642" t="s">
        <v>694</v>
      </c>
      <c r="B642" s="2">
        <v>45803</v>
      </c>
      <c r="C642" t="s">
        <v>17</v>
      </c>
      <c r="D642" t="s">
        <v>18</v>
      </c>
      <c r="E642" t="s">
        <v>24</v>
      </c>
      <c r="F642" t="s">
        <v>29</v>
      </c>
      <c r="G642" t="s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67.8</v>
      </c>
    </row>
    <row r="643" spans="1:16">
      <c r="A643" t="s">
        <v>695</v>
      </c>
      <c r="B643" s="2">
        <v>45733</v>
      </c>
      <c r="C643" t="s">
        <v>17</v>
      </c>
      <c r="D643" t="s">
        <v>18</v>
      </c>
      <c r="E643" t="s">
        <v>19</v>
      </c>
      <c r="F643" t="s">
        <v>41</v>
      </c>
      <c r="G643" t="s">
        <v>21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P643">
        <v>60.8</v>
      </c>
    </row>
    <row r="644" spans="1:16">
      <c r="A644" t="s">
        <v>696</v>
      </c>
      <c r="B644" s="2">
        <v>45794</v>
      </c>
      <c r="C644" t="s">
        <v>17</v>
      </c>
      <c r="D644" t="s">
        <v>18</v>
      </c>
      <c r="E644" t="s">
        <v>19</v>
      </c>
      <c r="F644" t="s">
        <v>29</v>
      </c>
      <c r="G644" t="s">
        <v>21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3</v>
      </c>
      <c r="N644">
        <v>0</v>
      </c>
      <c r="P644">
        <v>33.700000000000003</v>
      </c>
    </row>
    <row r="645" spans="1:16">
      <c r="A645" t="s">
        <v>697</v>
      </c>
      <c r="B645" s="2">
        <v>45709</v>
      </c>
      <c r="C645" t="s">
        <v>17</v>
      </c>
      <c r="D645" t="s">
        <v>18</v>
      </c>
      <c r="E645" t="s">
        <v>24</v>
      </c>
      <c r="F645" t="s">
        <v>29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45.2</v>
      </c>
    </row>
    <row r="646" spans="1:16">
      <c r="A646" t="s">
        <v>698</v>
      </c>
      <c r="B646" s="2">
        <v>45713</v>
      </c>
      <c r="C646" t="s">
        <v>17</v>
      </c>
      <c r="D646" t="s">
        <v>28</v>
      </c>
      <c r="E646" t="s">
        <v>19</v>
      </c>
      <c r="F646" t="s">
        <v>29</v>
      </c>
      <c r="G646" t="s">
        <v>30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48.2</v>
      </c>
    </row>
    <row r="647" spans="1:16">
      <c r="A647" t="s">
        <v>699</v>
      </c>
      <c r="B647" s="2">
        <v>45687</v>
      </c>
      <c r="C647" t="s">
        <v>17</v>
      </c>
      <c r="D647" t="s">
        <v>32</v>
      </c>
      <c r="E647" t="s">
        <v>24</v>
      </c>
      <c r="F647" t="s">
        <v>41</v>
      </c>
      <c r="G647" t="s">
        <v>26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1</v>
      </c>
      <c r="N647">
        <v>0</v>
      </c>
      <c r="P647">
        <v>44.8</v>
      </c>
    </row>
    <row r="648" spans="1:16">
      <c r="A648" t="s">
        <v>700</v>
      </c>
      <c r="B648" s="2">
        <v>45705</v>
      </c>
      <c r="C648" t="s">
        <v>17</v>
      </c>
      <c r="D648" t="s">
        <v>18</v>
      </c>
      <c r="E648" t="s">
        <v>34</v>
      </c>
      <c r="F648" t="s">
        <v>41</v>
      </c>
      <c r="G648" t="s">
        <v>21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52.1</v>
      </c>
    </row>
    <row r="649" spans="1:16">
      <c r="A649" t="s">
        <v>701</v>
      </c>
      <c r="B649" s="2">
        <v>45794</v>
      </c>
      <c r="C649" t="s">
        <v>17</v>
      </c>
      <c r="D649" t="s">
        <v>18</v>
      </c>
      <c r="E649" t="s">
        <v>19</v>
      </c>
      <c r="F649" t="s">
        <v>29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30.7</v>
      </c>
    </row>
    <row r="650" spans="1:16">
      <c r="A650" t="s">
        <v>702</v>
      </c>
      <c r="B650" s="2">
        <v>45777</v>
      </c>
      <c r="C650" t="s">
        <v>17</v>
      </c>
      <c r="D650" t="s">
        <v>28</v>
      </c>
      <c r="E650" t="s">
        <v>19</v>
      </c>
      <c r="F650" t="s">
        <v>29</v>
      </c>
      <c r="G650" t="s">
        <v>26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58.4</v>
      </c>
    </row>
    <row r="651" spans="1:16">
      <c r="A651" t="s">
        <v>703</v>
      </c>
      <c r="B651" s="2">
        <v>45738</v>
      </c>
      <c r="C651" t="s">
        <v>17</v>
      </c>
      <c r="D651" t="s">
        <v>23</v>
      </c>
      <c r="E651" t="s">
        <v>24</v>
      </c>
      <c r="F651" t="s">
        <v>39</v>
      </c>
      <c r="G651" t="s">
        <v>26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52.6</v>
      </c>
    </row>
    <row r="652" spans="1:16">
      <c r="A652" t="s">
        <v>704</v>
      </c>
      <c r="B652" s="2">
        <v>45667</v>
      </c>
      <c r="C652" t="s">
        <v>17</v>
      </c>
      <c r="D652" t="s">
        <v>23</v>
      </c>
      <c r="F652" t="s">
        <v>29</v>
      </c>
      <c r="G652" t="s">
        <v>26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P652">
        <v>19.100000000000001</v>
      </c>
    </row>
    <row r="653" spans="1:16">
      <c r="A653" t="s">
        <v>705</v>
      </c>
      <c r="B653" s="2">
        <v>45737</v>
      </c>
      <c r="C653" t="s">
        <v>17</v>
      </c>
      <c r="D653" t="s">
        <v>32</v>
      </c>
      <c r="F653" t="s">
        <v>29</v>
      </c>
      <c r="G653" t="s">
        <v>26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36.799999999999997</v>
      </c>
    </row>
    <row r="654" spans="1:16">
      <c r="A654" t="s">
        <v>706</v>
      </c>
      <c r="B654" s="2">
        <v>45789</v>
      </c>
      <c r="C654" t="s">
        <v>17</v>
      </c>
      <c r="D654" t="s">
        <v>18</v>
      </c>
      <c r="E654" t="s">
        <v>19</v>
      </c>
      <c r="F654" t="s">
        <v>29</v>
      </c>
      <c r="G654" t="s">
        <v>21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68.5</v>
      </c>
    </row>
    <row r="655" spans="1:16">
      <c r="A655" t="s">
        <v>707</v>
      </c>
      <c r="B655" s="2">
        <v>45801</v>
      </c>
      <c r="C655" t="s">
        <v>17</v>
      </c>
      <c r="D655" t="s">
        <v>23</v>
      </c>
      <c r="E655" t="s">
        <v>24</v>
      </c>
      <c r="F655" t="s">
        <v>29</v>
      </c>
      <c r="G655" t="s">
        <v>26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P655">
        <v>40.1</v>
      </c>
    </row>
    <row r="656" spans="1:16">
      <c r="A656" t="s">
        <v>708</v>
      </c>
      <c r="B656" s="2">
        <v>45780</v>
      </c>
      <c r="C656" t="s">
        <v>17</v>
      </c>
      <c r="D656" t="s">
        <v>23</v>
      </c>
      <c r="E656" t="s">
        <v>34</v>
      </c>
      <c r="F656" t="s">
        <v>25</v>
      </c>
      <c r="G656" t="s">
        <v>26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47.5</v>
      </c>
    </row>
    <row r="657" spans="1:16">
      <c r="A657" t="s">
        <v>709</v>
      </c>
      <c r="B657" s="2">
        <v>45671</v>
      </c>
      <c r="C657" t="s">
        <v>17</v>
      </c>
      <c r="D657" t="s">
        <v>32</v>
      </c>
      <c r="E657" t="s">
        <v>24</v>
      </c>
      <c r="F657" t="s">
        <v>25</v>
      </c>
      <c r="G657" t="s">
        <v>21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77.099999999999994</v>
      </c>
    </row>
    <row r="658" spans="1:16">
      <c r="A658" t="s">
        <v>710</v>
      </c>
      <c r="B658" s="2">
        <v>45743</v>
      </c>
      <c r="C658" t="s">
        <v>17</v>
      </c>
      <c r="D658" t="s">
        <v>23</v>
      </c>
      <c r="E658" t="s">
        <v>24</v>
      </c>
      <c r="F658" t="s">
        <v>41</v>
      </c>
      <c r="G658" t="s">
        <v>21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75.900000000000006</v>
      </c>
    </row>
    <row r="659" spans="1:16">
      <c r="A659" t="s">
        <v>711</v>
      </c>
      <c r="B659" s="2">
        <v>45716</v>
      </c>
      <c r="C659" t="s">
        <v>17</v>
      </c>
      <c r="D659" t="s">
        <v>18</v>
      </c>
      <c r="E659" t="s">
        <v>19</v>
      </c>
      <c r="F659" t="s">
        <v>39</v>
      </c>
      <c r="G659" t="s">
        <v>30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P659">
        <v>52</v>
      </c>
    </row>
    <row r="660" spans="1:16">
      <c r="A660" t="s">
        <v>712</v>
      </c>
      <c r="B660" s="2">
        <v>45789</v>
      </c>
      <c r="C660" t="s">
        <v>17</v>
      </c>
      <c r="D660" t="s">
        <v>23</v>
      </c>
      <c r="E660" t="s">
        <v>19</v>
      </c>
      <c r="F660" t="s">
        <v>39</v>
      </c>
      <c r="G660" t="s">
        <v>30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P660">
        <v>64.900000000000006</v>
      </c>
    </row>
    <row r="661" spans="1:16">
      <c r="A661" t="s">
        <v>713</v>
      </c>
      <c r="B661" s="2">
        <v>45730</v>
      </c>
      <c r="C661" t="s">
        <v>17</v>
      </c>
      <c r="D661" t="s">
        <v>18</v>
      </c>
      <c r="E661" t="s">
        <v>24</v>
      </c>
      <c r="F661" t="s">
        <v>25</v>
      </c>
      <c r="G661" t="s">
        <v>26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48.2</v>
      </c>
    </row>
    <row r="662" spans="1:16">
      <c r="A662" t="s">
        <v>714</v>
      </c>
      <c r="B662" s="2">
        <v>45797</v>
      </c>
      <c r="C662" t="s">
        <v>17</v>
      </c>
      <c r="D662" t="s">
        <v>28</v>
      </c>
      <c r="E662" t="s">
        <v>24</v>
      </c>
      <c r="F662" t="s">
        <v>25</v>
      </c>
      <c r="G662" t="s">
        <v>21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42.1</v>
      </c>
    </row>
    <row r="663" spans="1:16">
      <c r="A663" t="s">
        <v>715</v>
      </c>
      <c r="B663" s="2">
        <v>45712</v>
      </c>
      <c r="C663" t="s">
        <v>17</v>
      </c>
      <c r="D663" t="s">
        <v>32</v>
      </c>
      <c r="E663" t="s">
        <v>19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27.6</v>
      </c>
    </row>
    <row r="664" spans="1:16">
      <c r="A664" t="s">
        <v>716</v>
      </c>
      <c r="B664" s="2">
        <v>45701</v>
      </c>
      <c r="C664" t="s">
        <v>17</v>
      </c>
      <c r="D664" t="s">
        <v>23</v>
      </c>
      <c r="E664" t="s">
        <v>24</v>
      </c>
      <c r="F664" t="s">
        <v>25</v>
      </c>
      <c r="G664" t="s">
        <v>30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P664">
        <v>68.5</v>
      </c>
    </row>
    <row r="665" spans="1:16">
      <c r="A665" t="s">
        <v>717</v>
      </c>
      <c r="B665" s="2">
        <v>45694</v>
      </c>
      <c r="C665" t="s">
        <v>17</v>
      </c>
      <c r="D665" t="s">
        <v>32</v>
      </c>
      <c r="E665" t="s">
        <v>19</v>
      </c>
      <c r="F665" t="s">
        <v>25</v>
      </c>
      <c r="G665" t="s">
        <v>26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59.2</v>
      </c>
    </row>
    <row r="666" spans="1:16">
      <c r="A666" t="s">
        <v>718</v>
      </c>
      <c r="B666" s="2">
        <v>45718</v>
      </c>
      <c r="C666" t="s">
        <v>17</v>
      </c>
      <c r="D666" t="s">
        <v>18</v>
      </c>
      <c r="E666" t="s">
        <v>24</v>
      </c>
      <c r="F666" t="s">
        <v>41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P666">
        <v>63.3</v>
      </c>
    </row>
    <row r="667" spans="1:16">
      <c r="A667" t="s">
        <v>719</v>
      </c>
      <c r="B667" s="2">
        <v>45775</v>
      </c>
      <c r="C667" t="s">
        <v>17</v>
      </c>
      <c r="D667" t="s">
        <v>28</v>
      </c>
      <c r="E667" t="s">
        <v>19</v>
      </c>
      <c r="F667" t="s">
        <v>29</v>
      </c>
      <c r="G667" t="s">
        <v>26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55</v>
      </c>
    </row>
    <row r="668" spans="1:16">
      <c r="A668" t="s">
        <v>720</v>
      </c>
      <c r="B668" s="2">
        <v>45804</v>
      </c>
      <c r="C668" t="s">
        <v>17</v>
      </c>
      <c r="D668" t="s">
        <v>18</v>
      </c>
      <c r="E668" t="s">
        <v>19</v>
      </c>
      <c r="G668" t="s">
        <v>30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64.8</v>
      </c>
    </row>
    <row r="669" spans="1:16">
      <c r="A669" t="s">
        <v>721</v>
      </c>
      <c r="B669" s="2">
        <v>45754</v>
      </c>
      <c r="C669" t="s">
        <v>17</v>
      </c>
      <c r="D669" t="s">
        <v>32</v>
      </c>
      <c r="E669" t="s">
        <v>19</v>
      </c>
      <c r="F669" t="s">
        <v>25</v>
      </c>
      <c r="G669" t="s">
        <v>21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P669">
        <v>41.8</v>
      </c>
    </row>
    <row r="670" spans="1:16">
      <c r="A670" t="s">
        <v>722</v>
      </c>
      <c r="B670" s="2">
        <v>45761</v>
      </c>
      <c r="C670" t="s">
        <v>723</v>
      </c>
      <c r="D670" t="s">
        <v>28</v>
      </c>
      <c r="E670" t="s">
        <v>19</v>
      </c>
      <c r="F670" t="s">
        <v>41</v>
      </c>
      <c r="G670" t="s">
        <v>21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73.2</v>
      </c>
    </row>
    <row r="671" spans="1:16">
      <c r="A671" t="s">
        <v>724</v>
      </c>
      <c r="B671" s="2">
        <v>45786</v>
      </c>
      <c r="C671" t="s">
        <v>723</v>
      </c>
      <c r="D671" t="s">
        <v>28</v>
      </c>
      <c r="E671" t="s">
        <v>19</v>
      </c>
      <c r="F671" t="s">
        <v>25</v>
      </c>
      <c r="G671" t="s">
        <v>21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3</v>
      </c>
      <c r="N671">
        <v>0</v>
      </c>
      <c r="P671">
        <v>55.7</v>
      </c>
    </row>
    <row r="672" spans="1:16">
      <c r="A672" t="s">
        <v>725</v>
      </c>
      <c r="B672" s="2">
        <v>45737</v>
      </c>
      <c r="C672" t="s">
        <v>723</v>
      </c>
      <c r="D672" t="s">
        <v>18</v>
      </c>
      <c r="E672" t="s">
        <v>24</v>
      </c>
      <c r="F672" t="s">
        <v>25</v>
      </c>
      <c r="G672" t="s">
        <v>26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P672">
        <v>82.8</v>
      </c>
    </row>
    <row r="673" spans="1:16">
      <c r="A673" t="s">
        <v>726</v>
      </c>
      <c r="B673" s="2">
        <v>45743</v>
      </c>
      <c r="C673" t="s">
        <v>723</v>
      </c>
      <c r="D673" t="s">
        <v>18</v>
      </c>
      <c r="E673" t="s">
        <v>19</v>
      </c>
      <c r="F673" t="s">
        <v>41</v>
      </c>
      <c r="G673" t="s">
        <v>26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6">
      <c r="A674" t="s">
        <v>727</v>
      </c>
      <c r="B674" s="2">
        <v>45678</v>
      </c>
      <c r="C674" t="s">
        <v>723</v>
      </c>
      <c r="D674" t="s">
        <v>32</v>
      </c>
      <c r="E674" t="s">
        <v>24</v>
      </c>
      <c r="F674" t="s">
        <v>29</v>
      </c>
      <c r="G674" t="s">
        <v>26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34.4</v>
      </c>
    </row>
    <row r="675" spans="1:16">
      <c r="A675" t="s">
        <v>728</v>
      </c>
      <c r="B675" s="2">
        <v>45735</v>
      </c>
      <c r="C675" t="s">
        <v>723</v>
      </c>
      <c r="D675" t="s">
        <v>28</v>
      </c>
      <c r="E675" t="s">
        <v>19</v>
      </c>
      <c r="F675" t="s">
        <v>20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45.2</v>
      </c>
    </row>
    <row r="676" spans="1:16">
      <c r="A676" t="s">
        <v>729</v>
      </c>
      <c r="B676" s="2">
        <v>45804</v>
      </c>
      <c r="C676" t="s">
        <v>723</v>
      </c>
      <c r="D676" t="s">
        <v>18</v>
      </c>
      <c r="E676" t="s">
        <v>24</v>
      </c>
      <c r="F676" t="s">
        <v>25</v>
      </c>
      <c r="G676" t="s">
        <v>21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71.599999999999994</v>
      </c>
    </row>
    <row r="677" spans="1:16">
      <c r="A677" t="s">
        <v>730</v>
      </c>
      <c r="B677" s="2">
        <v>45658</v>
      </c>
      <c r="C677" t="s">
        <v>723</v>
      </c>
      <c r="D677" t="s">
        <v>18</v>
      </c>
      <c r="E677" t="s">
        <v>24</v>
      </c>
      <c r="F677" t="s">
        <v>41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69.099999999999994</v>
      </c>
    </row>
    <row r="678" spans="1:16">
      <c r="A678" t="s">
        <v>731</v>
      </c>
      <c r="B678" s="2">
        <v>45745</v>
      </c>
      <c r="C678" t="s">
        <v>723</v>
      </c>
      <c r="D678" t="s">
        <v>23</v>
      </c>
      <c r="E678" t="s">
        <v>19</v>
      </c>
      <c r="F678" t="s">
        <v>29</v>
      </c>
      <c r="G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P678">
        <v>37.700000000000003</v>
      </c>
    </row>
    <row r="679" spans="1:16">
      <c r="A679" t="s">
        <v>732</v>
      </c>
      <c r="B679" s="2">
        <v>45733</v>
      </c>
      <c r="C679" t="s">
        <v>723</v>
      </c>
      <c r="D679" t="s">
        <v>23</v>
      </c>
      <c r="E679" t="s">
        <v>19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P679">
        <v>60.8</v>
      </c>
    </row>
    <row r="680" spans="1:16">
      <c r="A680" t="s">
        <v>734</v>
      </c>
      <c r="B680" s="2">
        <v>45781</v>
      </c>
      <c r="C680" t="s">
        <v>723</v>
      </c>
      <c r="D680" t="s">
        <v>32</v>
      </c>
      <c r="E680" t="s">
        <v>24</v>
      </c>
      <c r="F680" t="s">
        <v>41</v>
      </c>
      <c r="G680" t="s">
        <v>26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69.2</v>
      </c>
    </row>
    <row r="681" spans="1:16">
      <c r="A681" t="s">
        <v>735</v>
      </c>
      <c r="B681" s="2">
        <v>45741</v>
      </c>
      <c r="C681" t="s">
        <v>723</v>
      </c>
      <c r="D681" t="s">
        <v>18</v>
      </c>
      <c r="E681" t="s">
        <v>24</v>
      </c>
      <c r="F681" t="s">
        <v>41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3</v>
      </c>
      <c r="N681">
        <v>0</v>
      </c>
      <c r="P681">
        <v>55</v>
      </c>
    </row>
    <row r="682" spans="1:16">
      <c r="A682" t="s">
        <v>736</v>
      </c>
      <c r="B682" s="2">
        <v>45764</v>
      </c>
      <c r="C682" t="s">
        <v>723</v>
      </c>
      <c r="D682" t="s">
        <v>23</v>
      </c>
      <c r="E682" t="s">
        <v>24</v>
      </c>
      <c r="F682" t="s">
        <v>20</v>
      </c>
      <c r="G682" t="s">
        <v>26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P682">
        <v>73.599999999999994</v>
      </c>
    </row>
    <row r="683" spans="1:16">
      <c r="A683" t="s">
        <v>737</v>
      </c>
      <c r="B683" s="2">
        <v>45800</v>
      </c>
      <c r="C683" t="s">
        <v>723</v>
      </c>
      <c r="D683" t="s">
        <v>32</v>
      </c>
      <c r="E683" t="s">
        <v>24</v>
      </c>
      <c r="F683" t="s">
        <v>39</v>
      </c>
      <c r="G683" t="s">
        <v>21</v>
      </c>
      <c r="H683">
        <v>1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0</v>
      </c>
      <c r="P683">
        <v>47.3</v>
      </c>
    </row>
    <row r="684" spans="1:16">
      <c r="A684" t="s">
        <v>738</v>
      </c>
      <c r="B684" s="2">
        <v>45670</v>
      </c>
      <c r="C684" t="s">
        <v>723</v>
      </c>
      <c r="D684" t="s">
        <v>18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43.6</v>
      </c>
    </row>
    <row r="685" spans="1:16">
      <c r="A685" t="s">
        <v>739</v>
      </c>
      <c r="B685" s="2">
        <v>45686</v>
      </c>
      <c r="C685" t="s">
        <v>723</v>
      </c>
      <c r="D685" t="s">
        <v>18</v>
      </c>
      <c r="E685" t="s">
        <v>19</v>
      </c>
      <c r="F685" t="s">
        <v>25</v>
      </c>
      <c r="G685" t="s">
        <v>21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6">
      <c r="A686" t="s">
        <v>740</v>
      </c>
      <c r="B686" s="2">
        <v>45788</v>
      </c>
      <c r="C686" t="s">
        <v>723</v>
      </c>
      <c r="D686" t="s">
        <v>32</v>
      </c>
      <c r="E686" t="s">
        <v>24</v>
      </c>
      <c r="F686" t="s">
        <v>20</v>
      </c>
      <c r="G686" t="s">
        <v>26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55.2</v>
      </c>
    </row>
    <row r="687" spans="1:16">
      <c r="A687" t="s">
        <v>741</v>
      </c>
      <c r="B687" s="2">
        <v>45769</v>
      </c>
      <c r="C687" t="s">
        <v>723</v>
      </c>
      <c r="D687" t="s">
        <v>32</v>
      </c>
      <c r="E687" t="s">
        <v>24</v>
      </c>
      <c r="F687" t="s">
        <v>25</v>
      </c>
      <c r="G687" t="s">
        <v>21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49.4</v>
      </c>
    </row>
    <row r="688" spans="1:16">
      <c r="A688" t="s">
        <v>742</v>
      </c>
      <c r="B688" s="2">
        <v>45719</v>
      </c>
      <c r="C688" t="s">
        <v>723</v>
      </c>
      <c r="D688" t="s">
        <v>32</v>
      </c>
      <c r="E688" t="s">
        <v>24</v>
      </c>
      <c r="F688" t="s">
        <v>41</v>
      </c>
      <c r="G688" t="s">
        <v>26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0</v>
      </c>
      <c r="P688">
        <v>60.1</v>
      </c>
    </row>
    <row r="689" spans="1:16">
      <c r="A689" t="s">
        <v>743</v>
      </c>
      <c r="B689" s="2">
        <v>45734</v>
      </c>
      <c r="C689" t="s">
        <v>723</v>
      </c>
      <c r="D689" t="s">
        <v>18</v>
      </c>
      <c r="E689" t="s">
        <v>24</v>
      </c>
      <c r="F689" t="s">
        <v>39</v>
      </c>
      <c r="G689" t="s">
        <v>26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55.9</v>
      </c>
    </row>
    <row r="690" spans="1:16">
      <c r="A690" t="s">
        <v>744</v>
      </c>
      <c r="B690" s="2">
        <v>45752</v>
      </c>
      <c r="C690" t="s">
        <v>723</v>
      </c>
      <c r="D690" t="s">
        <v>18</v>
      </c>
      <c r="E690" t="s">
        <v>24</v>
      </c>
      <c r="F690" t="s">
        <v>25</v>
      </c>
      <c r="G690" t="s">
        <v>21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51.5</v>
      </c>
    </row>
    <row r="691" spans="1:16">
      <c r="A691" t="s">
        <v>747</v>
      </c>
      <c r="B691" s="2">
        <v>45703</v>
      </c>
      <c r="C691" t="s">
        <v>723</v>
      </c>
      <c r="D691" t="s">
        <v>32</v>
      </c>
      <c r="E691" t="s">
        <v>24</v>
      </c>
      <c r="F691" t="s">
        <v>25</v>
      </c>
      <c r="G691" t="s">
        <v>26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64.2</v>
      </c>
    </row>
    <row r="692" spans="1:16">
      <c r="A692" t="s">
        <v>748</v>
      </c>
      <c r="B692" s="2">
        <v>45678</v>
      </c>
      <c r="C692" t="s">
        <v>723</v>
      </c>
      <c r="D692" t="s">
        <v>32</v>
      </c>
      <c r="E692" t="s">
        <v>24</v>
      </c>
      <c r="F692" t="s">
        <v>25</v>
      </c>
      <c r="G692" t="s">
        <v>26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68.8</v>
      </c>
    </row>
    <row r="693" spans="1:16">
      <c r="A693" t="s">
        <v>749</v>
      </c>
      <c r="B693" s="2">
        <v>45800</v>
      </c>
      <c r="C693" t="s">
        <v>723</v>
      </c>
      <c r="D693" t="s">
        <v>18</v>
      </c>
      <c r="E693" t="s">
        <v>24</v>
      </c>
      <c r="F693" t="s">
        <v>29</v>
      </c>
      <c r="G693" t="s">
        <v>30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P693">
        <v>77.900000000000006</v>
      </c>
    </row>
    <row r="694" spans="1:16">
      <c r="A694" t="s">
        <v>750</v>
      </c>
      <c r="B694" s="2">
        <v>45679</v>
      </c>
      <c r="C694" t="s">
        <v>723</v>
      </c>
      <c r="D694" t="s">
        <v>23</v>
      </c>
      <c r="E694" t="s">
        <v>24</v>
      </c>
      <c r="F694" t="s">
        <v>29</v>
      </c>
      <c r="G694" t="s">
        <v>21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92.1</v>
      </c>
    </row>
    <row r="695" spans="1:16">
      <c r="A695" t="s">
        <v>751</v>
      </c>
      <c r="B695" s="2">
        <v>45771</v>
      </c>
      <c r="C695" t="s">
        <v>723</v>
      </c>
      <c r="D695" t="s">
        <v>23</v>
      </c>
      <c r="E695" t="s">
        <v>24</v>
      </c>
      <c r="F695" t="s">
        <v>29</v>
      </c>
      <c r="G695" t="s">
        <v>30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63.6</v>
      </c>
    </row>
    <row r="696" spans="1:16">
      <c r="A696" t="s">
        <v>752</v>
      </c>
      <c r="B696" s="2">
        <v>45674</v>
      </c>
      <c r="C696" t="s">
        <v>723</v>
      </c>
      <c r="D696" t="s">
        <v>23</v>
      </c>
      <c r="E696" t="s">
        <v>19</v>
      </c>
      <c r="F696" t="s">
        <v>20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  <c r="N696">
        <v>0</v>
      </c>
      <c r="P696">
        <v>61.6</v>
      </c>
    </row>
    <row r="697" spans="1:16">
      <c r="A697" t="s">
        <v>753</v>
      </c>
      <c r="B697" s="2">
        <v>45679</v>
      </c>
      <c r="C697" t="s">
        <v>723</v>
      </c>
      <c r="D697" t="s">
        <v>28</v>
      </c>
      <c r="E697" t="s">
        <v>24</v>
      </c>
      <c r="F697" t="s">
        <v>39</v>
      </c>
      <c r="G697" t="s">
        <v>21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82.3</v>
      </c>
    </row>
    <row r="698" spans="1:16">
      <c r="A698" t="s">
        <v>754</v>
      </c>
      <c r="B698" s="2">
        <v>45781</v>
      </c>
      <c r="C698" t="s">
        <v>723</v>
      </c>
      <c r="D698" t="s">
        <v>28</v>
      </c>
      <c r="E698" t="s">
        <v>19</v>
      </c>
      <c r="F698" t="s">
        <v>29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79.3</v>
      </c>
    </row>
    <row r="699" spans="1:16">
      <c r="A699" t="s">
        <v>755</v>
      </c>
      <c r="B699" s="2">
        <v>45729</v>
      </c>
      <c r="C699" t="s">
        <v>723</v>
      </c>
      <c r="D699" t="s">
        <v>32</v>
      </c>
      <c r="E699" t="s">
        <v>24</v>
      </c>
      <c r="G699" t="s">
        <v>26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P699">
        <v>57.7</v>
      </c>
    </row>
    <row r="700" spans="1:16">
      <c r="A700" t="s">
        <v>756</v>
      </c>
      <c r="B700" s="2">
        <v>45659</v>
      </c>
      <c r="C700" t="s">
        <v>723</v>
      </c>
      <c r="D700" t="s">
        <v>18</v>
      </c>
      <c r="E700" t="s">
        <v>24</v>
      </c>
      <c r="F700" t="s">
        <v>25</v>
      </c>
      <c r="G700" t="s">
        <v>21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63.1</v>
      </c>
    </row>
    <row r="701" spans="1:16">
      <c r="A701" t="s">
        <v>757</v>
      </c>
      <c r="B701" s="2">
        <v>45670</v>
      </c>
      <c r="C701" t="s">
        <v>723</v>
      </c>
      <c r="D701" t="s">
        <v>28</v>
      </c>
      <c r="E701" t="s">
        <v>24</v>
      </c>
      <c r="F701" t="s">
        <v>29</v>
      </c>
      <c r="G701" t="s">
        <v>21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72.3</v>
      </c>
    </row>
    <row r="702" spans="1:16">
      <c r="A702" t="s">
        <v>758</v>
      </c>
      <c r="B702" s="2">
        <v>45697</v>
      </c>
      <c r="C702" t="s">
        <v>723</v>
      </c>
      <c r="D702" t="s">
        <v>28</v>
      </c>
      <c r="E702" t="s">
        <v>24</v>
      </c>
      <c r="F702" t="s">
        <v>41</v>
      </c>
      <c r="G702" t="s">
        <v>26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P702">
        <v>78</v>
      </c>
    </row>
    <row r="703" spans="1:16">
      <c r="A703" t="s">
        <v>759</v>
      </c>
      <c r="B703" s="2">
        <v>45756</v>
      </c>
      <c r="C703" t="s">
        <v>723</v>
      </c>
      <c r="D703" t="s">
        <v>28</v>
      </c>
      <c r="E703" t="s">
        <v>19</v>
      </c>
      <c r="F703" t="s">
        <v>41</v>
      </c>
      <c r="G703" t="s">
        <v>26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2</v>
      </c>
      <c r="N703">
        <v>0</v>
      </c>
      <c r="P703">
        <v>59.1</v>
      </c>
    </row>
    <row r="704" spans="1:16">
      <c r="A704" t="s">
        <v>761</v>
      </c>
      <c r="B704" s="2">
        <v>45692</v>
      </c>
      <c r="C704" t="s">
        <v>723</v>
      </c>
      <c r="D704" t="s">
        <v>32</v>
      </c>
      <c r="E704" t="s">
        <v>24</v>
      </c>
      <c r="G704" t="s">
        <v>30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P704">
        <v>64.900000000000006</v>
      </c>
    </row>
    <row r="705" spans="1:16">
      <c r="A705" t="s">
        <v>762</v>
      </c>
      <c r="B705" s="2">
        <v>45707</v>
      </c>
      <c r="C705" t="s">
        <v>723</v>
      </c>
      <c r="D705" t="s">
        <v>32</v>
      </c>
      <c r="E705" t="s">
        <v>34</v>
      </c>
      <c r="F705" t="s">
        <v>29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67.3</v>
      </c>
    </row>
    <row r="706" spans="1:16">
      <c r="A706" t="s">
        <v>763</v>
      </c>
      <c r="B706" s="2">
        <v>45748</v>
      </c>
      <c r="C706" t="s">
        <v>723</v>
      </c>
      <c r="D706" t="s">
        <v>28</v>
      </c>
      <c r="E706" t="s">
        <v>24</v>
      </c>
      <c r="F706" t="s">
        <v>29</v>
      </c>
      <c r="G706" t="s">
        <v>21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2</v>
      </c>
      <c r="N706">
        <v>0</v>
      </c>
      <c r="P706">
        <v>52.9</v>
      </c>
    </row>
    <row r="707" spans="1:16">
      <c r="A707" t="s">
        <v>765</v>
      </c>
      <c r="B707" s="2">
        <v>45795</v>
      </c>
      <c r="C707" t="s">
        <v>723</v>
      </c>
      <c r="D707" t="s">
        <v>18</v>
      </c>
      <c r="E707" t="s">
        <v>24</v>
      </c>
      <c r="F707" t="s">
        <v>39</v>
      </c>
      <c r="G707" t="s">
        <v>21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P707">
        <v>78.900000000000006</v>
      </c>
    </row>
    <row r="708" spans="1:16">
      <c r="A708" t="s">
        <v>766</v>
      </c>
      <c r="B708" s="2">
        <v>45762</v>
      </c>
      <c r="C708" t="s">
        <v>723</v>
      </c>
      <c r="D708" t="s">
        <v>28</v>
      </c>
      <c r="E708" t="s">
        <v>19</v>
      </c>
      <c r="F708" t="s">
        <v>41</v>
      </c>
      <c r="G708" t="s">
        <v>30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83.3</v>
      </c>
    </row>
    <row r="709" spans="1:16">
      <c r="A709" t="s">
        <v>767</v>
      </c>
      <c r="B709" s="2">
        <v>45744</v>
      </c>
      <c r="C709" t="s">
        <v>723</v>
      </c>
      <c r="D709" t="s">
        <v>28</v>
      </c>
      <c r="E709" t="s">
        <v>19</v>
      </c>
      <c r="F709" t="s">
        <v>20</v>
      </c>
      <c r="G709" t="s">
        <v>26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P709">
        <v>24.5</v>
      </c>
    </row>
    <row r="710" spans="1:16">
      <c r="A710" t="s">
        <v>768</v>
      </c>
      <c r="B710" s="2">
        <v>45748</v>
      </c>
      <c r="C710" t="s">
        <v>723</v>
      </c>
      <c r="D710" t="s">
        <v>23</v>
      </c>
      <c r="E710" t="s">
        <v>24</v>
      </c>
      <c r="F710" t="s">
        <v>29</v>
      </c>
      <c r="G710" t="s">
        <v>21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0</v>
      </c>
      <c r="P710">
        <v>56.9</v>
      </c>
    </row>
    <row r="711" spans="1:16">
      <c r="A711" t="s">
        <v>769</v>
      </c>
      <c r="B711" s="2">
        <v>45699</v>
      </c>
      <c r="C711" t="s">
        <v>723</v>
      </c>
      <c r="D711" t="s">
        <v>23</v>
      </c>
      <c r="E711" t="s">
        <v>24</v>
      </c>
      <c r="F711" t="s">
        <v>41</v>
      </c>
      <c r="G711" t="s">
        <v>21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69.900000000000006</v>
      </c>
    </row>
    <row r="712" spans="1:16">
      <c r="A712" t="s">
        <v>770</v>
      </c>
      <c r="B712" s="2">
        <v>45720</v>
      </c>
      <c r="C712" t="s">
        <v>723</v>
      </c>
      <c r="D712" t="s">
        <v>32</v>
      </c>
      <c r="E712" t="s">
        <v>24</v>
      </c>
      <c r="F712" t="s">
        <v>25</v>
      </c>
      <c r="G712" t="s">
        <v>26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P712">
        <v>81.5</v>
      </c>
    </row>
    <row r="713" spans="1:16">
      <c r="A713" t="s">
        <v>771</v>
      </c>
      <c r="B713" s="2">
        <v>45678</v>
      </c>
      <c r="C713" t="s">
        <v>723</v>
      </c>
      <c r="D713" t="s">
        <v>18</v>
      </c>
      <c r="E713" t="s">
        <v>34</v>
      </c>
      <c r="F713" t="s">
        <v>41</v>
      </c>
      <c r="G713" t="s">
        <v>21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P713">
        <v>37.9</v>
      </c>
    </row>
    <row r="714" spans="1:16">
      <c r="A714" t="s">
        <v>772</v>
      </c>
      <c r="B714" s="2">
        <v>45702</v>
      </c>
      <c r="C714" t="s">
        <v>723</v>
      </c>
      <c r="D714" t="s">
        <v>18</v>
      </c>
      <c r="E714" t="s">
        <v>24</v>
      </c>
      <c r="F714" t="s">
        <v>39</v>
      </c>
      <c r="G714" t="s">
        <v>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P714">
        <v>61.7</v>
      </c>
    </row>
    <row r="715" spans="1:16">
      <c r="A715" t="s">
        <v>773</v>
      </c>
      <c r="B715" s="2">
        <v>45746</v>
      </c>
      <c r="C715" t="s">
        <v>723</v>
      </c>
      <c r="D715" t="s">
        <v>18</v>
      </c>
      <c r="E715" t="s">
        <v>19</v>
      </c>
      <c r="G715" t="s">
        <v>30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0</v>
      </c>
      <c r="P715">
        <v>53.2</v>
      </c>
    </row>
    <row r="716" spans="1:16">
      <c r="A716" t="s">
        <v>774</v>
      </c>
      <c r="B716" s="2">
        <v>45665</v>
      </c>
      <c r="C716" t="s">
        <v>723</v>
      </c>
      <c r="D716" t="s">
        <v>18</v>
      </c>
      <c r="E716" t="s">
        <v>24</v>
      </c>
      <c r="F716" t="s">
        <v>39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61.9</v>
      </c>
    </row>
    <row r="717" spans="1:16">
      <c r="A717" t="s">
        <v>775</v>
      </c>
      <c r="B717" s="2">
        <v>45695</v>
      </c>
      <c r="C717" t="s">
        <v>723</v>
      </c>
      <c r="D717" t="s">
        <v>18</v>
      </c>
      <c r="E717" t="s">
        <v>24</v>
      </c>
      <c r="F717" t="s">
        <v>41</v>
      </c>
      <c r="G717" t="s">
        <v>26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P717">
        <v>68.900000000000006</v>
      </c>
    </row>
    <row r="718" spans="1:16">
      <c r="A718" t="s">
        <v>776</v>
      </c>
      <c r="B718" s="2">
        <v>45689</v>
      </c>
      <c r="C718" t="s">
        <v>723</v>
      </c>
      <c r="D718" t="s">
        <v>18</v>
      </c>
      <c r="E718" t="s">
        <v>34</v>
      </c>
      <c r="F718" t="s">
        <v>29</v>
      </c>
      <c r="G718" t="s">
        <v>21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P718">
        <v>66.3</v>
      </c>
    </row>
    <row r="719" spans="1:16">
      <c r="A719" t="s">
        <v>777</v>
      </c>
      <c r="B719" s="2">
        <v>45661</v>
      </c>
      <c r="C719" t="s">
        <v>723</v>
      </c>
      <c r="D719" t="s">
        <v>28</v>
      </c>
      <c r="E719" t="s">
        <v>24</v>
      </c>
      <c r="F719" t="s">
        <v>20</v>
      </c>
      <c r="G719" t="s">
        <v>26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P719">
        <v>54.6</v>
      </c>
    </row>
    <row r="720" spans="1:16">
      <c r="A720" t="s">
        <v>778</v>
      </c>
      <c r="B720" s="2">
        <v>45793</v>
      </c>
      <c r="C720" t="s">
        <v>723</v>
      </c>
      <c r="D720" t="s">
        <v>32</v>
      </c>
      <c r="E720" t="s">
        <v>19</v>
      </c>
      <c r="F720" t="s">
        <v>39</v>
      </c>
      <c r="G720" t="s">
        <v>26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53.8</v>
      </c>
    </row>
    <row r="721" spans="1:16">
      <c r="A721" t="s">
        <v>779</v>
      </c>
      <c r="B721" s="2">
        <v>45716</v>
      </c>
      <c r="C721" t="s">
        <v>723</v>
      </c>
      <c r="D721" t="s">
        <v>23</v>
      </c>
      <c r="E721" t="s">
        <v>24</v>
      </c>
      <c r="F721" t="s">
        <v>39</v>
      </c>
      <c r="G721" t="s">
        <v>26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P721">
        <v>59.5</v>
      </c>
    </row>
    <row r="722" spans="1:16">
      <c r="A722" t="s">
        <v>780</v>
      </c>
      <c r="B722" s="2">
        <v>45759</v>
      </c>
      <c r="C722" t="s">
        <v>723</v>
      </c>
      <c r="D722" t="s">
        <v>18</v>
      </c>
      <c r="E722" t="s">
        <v>24</v>
      </c>
      <c r="F722" t="s">
        <v>39</v>
      </c>
      <c r="G722" t="s">
        <v>26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52.6</v>
      </c>
    </row>
    <row r="723" spans="1:16">
      <c r="A723" t="s">
        <v>781</v>
      </c>
      <c r="B723" s="2">
        <v>45739</v>
      </c>
      <c r="C723" t="s">
        <v>723</v>
      </c>
      <c r="D723" t="s">
        <v>32</v>
      </c>
      <c r="E723" t="s">
        <v>19</v>
      </c>
      <c r="F723" t="s">
        <v>25</v>
      </c>
      <c r="G723" t="s">
        <v>26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49</v>
      </c>
    </row>
    <row r="724" spans="1:16">
      <c r="A724" t="s">
        <v>782</v>
      </c>
      <c r="B724" s="2">
        <v>45806</v>
      </c>
      <c r="C724" t="s">
        <v>723</v>
      </c>
      <c r="D724" t="s">
        <v>18</v>
      </c>
      <c r="E724" t="s">
        <v>34</v>
      </c>
      <c r="F724" t="s">
        <v>25</v>
      </c>
      <c r="G724" t="s">
        <v>26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59.3</v>
      </c>
    </row>
    <row r="725" spans="1:16">
      <c r="A725" t="s">
        <v>783</v>
      </c>
      <c r="B725" s="2">
        <v>45798</v>
      </c>
      <c r="C725" t="s">
        <v>723</v>
      </c>
      <c r="D725" t="s">
        <v>32</v>
      </c>
      <c r="E725" t="s">
        <v>19</v>
      </c>
      <c r="F725" t="s">
        <v>25</v>
      </c>
      <c r="G725" t="s">
        <v>21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67.2</v>
      </c>
    </row>
    <row r="726" spans="1:16">
      <c r="A726" t="s">
        <v>784</v>
      </c>
      <c r="B726" s="2">
        <v>45662</v>
      </c>
      <c r="C726" t="s">
        <v>723</v>
      </c>
      <c r="D726" t="s">
        <v>32</v>
      </c>
      <c r="E726" t="s">
        <v>24</v>
      </c>
      <c r="F726" t="s">
        <v>39</v>
      </c>
      <c r="G726" t="s">
        <v>30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73.5</v>
      </c>
    </row>
    <row r="727" spans="1:16">
      <c r="A727" t="s">
        <v>785</v>
      </c>
      <c r="B727" s="2">
        <v>45735</v>
      </c>
      <c r="C727" t="s">
        <v>723</v>
      </c>
      <c r="D727" t="s">
        <v>28</v>
      </c>
      <c r="E727" t="s">
        <v>34</v>
      </c>
      <c r="F727" t="s">
        <v>25</v>
      </c>
      <c r="G727" t="s">
        <v>26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61.2</v>
      </c>
    </row>
    <row r="728" spans="1:16">
      <c r="A728" t="s">
        <v>786</v>
      </c>
      <c r="B728" s="2">
        <v>45771</v>
      </c>
      <c r="C728" t="s">
        <v>723</v>
      </c>
      <c r="D728" t="s">
        <v>28</v>
      </c>
      <c r="E728" t="s">
        <v>24</v>
      </c>
      <c r="F728" t="s">
        <v>25</v>
      </c>
      <c r="G728" t="s">
        <v>26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P728">
        <v>56.4</v>
      </c>
    </row>
    <row r="729" spans="1:16">
      <c r="A729" t="s">
        <v>787</v>
      </c>
      <c r="B729" s="2">
        <v>45726</v>
      </c>
      <c r="C729" t="s">
        <v>723</v>
      </c>
      <c r="D729" t="s">
        <v>18</v>
      </c>
      <c r="E729" t="s">
        <v>34</v>
      </c>
      <c r="F729" t="s">
        <v>25</v>
      </c>
      <c r="G729" t="s">
        <v>26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</v>
      </c>
      <c r="N729">
        <v>0</v>
      </c>
      <c r="P729">
        <v>72.599999999999994</v>
      </c>
    </row>
    <row r="730" spans="1:16">
      <c r="A730" t="s">
        <v>788</v>
      </c>
      <c r="B730" s="2">
        <v>45710</v>
      </c>
      <c r="C730" t="s">
        <v>723</v>
      </c>
      <c r="D730" t="s">
        <v>32</v>
      </c>
      <c r="E730" t="s">
        <v>34</v>
      </c>
      <c r="F730" t="s">
        <v>39</v>
      </c>
      <c r="G730" t="s">
        <v>21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61.7</v>
      </c>
    </row>
    <row r="731" spans="1:16">
      <c r="A731" t="s">
        <v>789</v>
      </c>
      <c r="B731" s="2">
        <v>45794</v>
      </c>
      <c r="C731" t="s">
        <v>723</v>
      </c>
      <c r="D731" t="s">
        <v>28</v>
      </c>
      <c r="E731" t="s">
        <v>24</v>
      </c>
      <c r="F731" t="s">
        <v>41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P731">
        <v>66.900000000000006</v>
      </c>
    </row>
    <row r="732" spans="1:16">
      <c r="A732" t="s">
        <v>791</v>
      </c>
      <c r="B732" s="2">
        <v>45773</v>
      </c>
      <c r="C732" t="s">
        <v>723</v>
      </c>
      <c r="D732" t="s">
        <v>28</v>
      </c>
      <c r="E732" t="s">
        <v>34</v>
      </c>
      <c r="F732" t="s">
        <v>25</v>
      </c>
      <c r="G732" t="s">
        <v>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57.5</v>
      </c>
    </row>
    <row r="733" spans="1:16">
      <c r="A733" t="s">
        <v>792</v>
      </c>
      <c r="B733" s="2">
        <v>45731</v>
      </c>
      <c r="C733" t="s">
        <v>723</v>
      </c>
      <c r="D733" t="s">
        <v>23</v>
      </c>
      <c r="E733" t="s">
        <v>19</v>
      </c>
      <c r="F733" t="s">
        <v>41</v>
      </c>
      <c r="G733" t="s">
        <v>26</v>
      </c>
      <c r="H733">
        <v>1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P733">
        <v>76.3</v>
      </c>
    </row>
    <row r="734" spans="1:16">
      <c r="A734" t="s">
        <v>793</v>
      </c>
      <c r="B734" s="2">
        <v>45750</v>
      </c>
      <c r="C734" t="s">
        <v>723</v>
      </c>
      <c r="D734" t="s">
        <v>18</v>
      </c>
      <c r="E734" t="s">
        <v>24</v>
      </c>
      <c r="F734" t="s">
        <v>29</v>
      </c>
      <c r="G734" t="s">
        <v>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47.5</v>
      </c>
    </row>
    <row r="735" spans="1:16">
      <c r="A735" t="s">
        <v>794</v>
      </c>
      <c r="B735" s="2">
        <v>45742</v>
      </c>
      <c r="C735" t="s">
        <v>723</v>
      </c>
      <c r="D735" t="s">
        <v>32</v>
      </c>
      <c r="E735" t="s">
        <v>24</v>
      </c>
      <c r="F735" t="s">
        <v>29</v>
      </c>
      <c r="G735" t="s">
        <v>26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6">
      <c r="A736" t="s">
        <v>795</v>
      </c>
      <c r="B736" s="2">
        <v>45693</v>
      </c>
      <c r="C736" t="s">
        <v>723</v>
      </c>
      <c r="D736" t="s">
        <v>23</v>
      </c>
      <c r="E736" t="s">
        <v>19</v>
      </c>
      <c r="F736" t="s">
        <v>25</v>
      </c>
      <c r="G736" t="s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2</v>
      </c>
      <c r="N736">
        <v>0</v>
      </c>
      <c r="P736">
        <v>71.599999999999994</v>
      </c>
    </row>
    <row r="737" spans="1:16">
      <c r="A737" t="s">
        <v>796</v>
      </c>
      <c r="B737" s="2">
        <v>45785</v>
      </c>
      <c r="C737" t="s">
        <v>723</v>
      </c>
      <c r="D737" t="s">
        <v>32</v>
      </c>
      <c r="E737" t="s">
        <v>24</v>
      </c>
      <c r="F737" t="s">
        <v>41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P737">
        <v>55.8</v>
      </c>
    </row>
    <row r="738" spans="1:16">
      <c r="A738" t="s">
        <v>797</v>
      </c>
      <c r="B738" s="2">
        <v>45741</v>
      </c>
      <c r="C738" t="s">
        <v>723</v>
      </c>
      <c r="D738" t="s">
        <v>32</v>
      </c>
      <c r="E738" t="s">
        <v>19</v>
      </c>
      <c r="F738" t="s">
        <v>25</v>
      </c>
      <c r="G738" t="s">
        <v>21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P738">
        <v>60.1</v>
      </c>
    </row>
    <row r="739" spans="1:16">
      <c r="A739" t="s">
        <v>798</v>
      </c>
      <c r="B739" s="2">
        <v>45671</v>
      </c>
      <c r="C739" t="s">
        <v>723</v>
      </c>
      <c r="D739" t="s">
        <v>23</v>
      </c>
      <c r="F739" t="s">
        <v>20</v>
      </c>
      <c r="G739" t="s">
        <v>21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0</v>
      </c>
      <c r="P739">
        <v>59.3</v>
      </c>
    </row>
    <row r="740" spans="1:16">
      <c r="A740" t="s">
        <v>799</v>
      </c>
      <c r="B740" s="2">
        <v>45742</v>
      </c>
      <c r="C740" t="s">
        <v>723</v>
      </c>
      <c r="D740" t="s">
        <v>18</v>
      </c>
      <c r="E740" t="s">
        <v>24</v>
      </c>
      <c r="F740" t="s">
        <v>25</v>
      </c>
      <c r="G740" t="s">
        <v>26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49.3</v>
      </c>
    </row>
    <row r="741" spans="1:16">
      <c r="A741" t="s">
        <v>800</v>
      </c>
      <c r="B741" s="2">
        <v>45673</v>
      </c>
      <c r="C741" t="s">
        <v>723</v>
      </c>
      <c r="D741" t="s">
        <v>28</v>
      </c>
      <c r="E741" t="s">
        <v>24</v>
      </c>
      <c r="F741" t="s">
        <v>39</v>
      </c>
      <c r="G741" t="s">
        <v>26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75</v>
      </c>
    </row>
    <row r="742" spans="1:16">
      <c r="A742" t="s">
        <v>801</v>
      </c>
      <c r="B742" s="2">
        <v>45661</v>
      </c>
      <c r="C742" t="s">
        <v>723</v>
      </c>
      <c r="D742" t="s">
        <v>28</v>
      </c>
      <c r="E742" t="s">
        <v>24</v>
      </c>
      <c r="F742" t="s">
        <v>41</v>
      </c>
      <c r="G742" t="s">
        <v>26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70.2</v>
      </c>
    </row>
    <row r="743" spans="1:16">
      <c r="A743" t="s">
        <v>802</v>
      </c>
      <c r="B743" s="2">
        <v>45697</v>
      </c>
      <c r="C743" t="s">
        <v>723</v>
      </c>
      <c r="D743" t="s">
        <v>32</v>
      </c>
      <c r="E743" t="s">
        <v>19</v>
      </c>
      <c r="F743" t="s">
        <v>25</v>
      </c>
      <c r="G743" t="s">
        <v>30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P743">
        <v>56.6</v>
      </c>
    </row>
    <row r="744" spans="1:16">
      <c r="A744" t="s">
        <v>803</v>
      </c>
      <c r="B744" s="2">
        <v>45721</v>
      </c>
      <c r="C744" t="s">
        <v>723</v>
      </c>
      <c r="D744" t="s">
        <v>28</v>
      </c>
      <c r="E744" t="s">
        <v>19</v>
      </c>
      <c r="F744" t="s">
        <v>25</v>
      </c>
      <c r="G744" t="s">
        <v>26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P744">
        <v>65.400000000000006</v>
      </c>
    </row>
    <row r="745" spans="1:16">
      <c r="A745" t="s">
        <v>804</v>
      </c>
      <c r="B745" s="2">
        <v>45726</v>
      </c>
      <c r="C745" t="s">
        <v>723</v>
      </c>
      <c r="D745" t="s">
        <v>28</v>
      </c>
      <c r="E745" t="s">
        <v>24</v>
      </c>
      <c r="F745" t="s">
        <v>39</v>
      </c>
      <c r="G745" t="s">
        <v>21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47.6</v>
      </c>
    </row>
    <row r="746" spans="1:16">
      <c r="A746" t="s">
        <v>805</v>
      </c>
      <c r="B746" s="2">
        <v>45715</v>
      </c>
      <c r="C746" t="s">
        <v>723</v>
      </c>
      <c r="D746" t="s">
        <v>28</v>
      </c>
      <c r="E746" t="s">
        <v>19</v>
      </c>
      <c r="F746" t="s">
        <v>29</v>
      </c>
      <c r="G746" t="s">
        <v>26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56.7</v>
      </c>
    </row>
    <row r="747" spans="1:16">
      <c r="A747" t="s">
        <v>806</v>
      </c>
      <c r="B747" s="2">
        <v>45726</v>
      </c>
      <c r="C747" t="s">
        <v>723</v>
      </c>
      <c r="D747" t="s">
        <v>18</v>
      </c>
      <c r="E747" t="s">
        <v>19</v>
      </c>
      <c r="F747" t="s">
        <v>39</v>
      </c>
      <c r="G747" t="s">
        <v>21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71.400000000000006</v>
      </c>
    </row>
    <row r="748" spans="1:16">
      <c r="A748" t="s">
        <v>807</v>
      </c>
      <c r="B748" s="2">
        <v>45770</v>
      </c>
      <c r="C748" t="s">
        <v>723</v>
      </c>
      <c r="D748" t="s">
        <v>23</v>
      </c>
      <c r="E748" t="s">
        <v>24</v>
      </c>
      <c r="F748" t="s">
        <v>41</v>
      </c>
      <c r="G748" t="s">
        <v>26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</v>
      </c>
      <c r="N748">
        <v>0</v>
      </c>
      <c r="P748">
        <v>60.5</v>
      </c>
    </row>
    <row r="749" spans="1:16">
      <c r="A749" t="s">
        <v>808</v>
      </c>
      <c r="B749" s="2">
        <v>45759</v>
      </c>
      <c r="C749" t="s">
        <v>723</v>
      </c>
      <c r="D749" t="s">
        <v>18</v>
      </c>
      <c r="E749" t="s">
        <v>19</v>
      </c>
      <c r="F749" t="s">
        <v>29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46.7</v>
      </c>
    </row>
    <row r="750" spans="1:16">
      <c r="A750" t="s">
        <v>809</v>
      </c>
      <c r="B750" s="2">
        <v>45683</v>
      </c>
      <c r="C750" t="s">
        <v>723</v>
      </c>
      <c r="D750" t="s">
        <v>28</v>
      </c>
      <c r="E750" t="s">
        <v>19</v>
      </c>
      <c r="F750" t="s">
        <v>39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61</v>
      </c>
    </row>
    <row r="751" spans="1:16">
      <c r="A751" t="s">
        <v>810</v>
      </c>
      <c r="B751" s="2">
        <v>45801</v>
      </c>
      <c r="C751" t="s">
        <v>723</v>
      </c>
      <c r="D751" t="s">
        <v>23</v>
      </c>
      <c r="E751" t="s">
        <v>34</v>
      </c>
      <c r="F751" t="s">
        <v>29</v>
      </c>
      <c r="G751" t="s">
        <v>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60.9</v>
      </c>
    </row>
    <row r="752" spans="1:16">
      <c r="A752" t="s">
        <v>811</v>
      </c>
      <c r="B752" s="2">
        <v>45665</v>
      </c>
      <c r="C752" t="s">
        <v>723</v>
      </c>
      <c r="D752" t="s">
        <v>32</v>
      </c>
      <c r="E752" t="s">
        <v>24</v>
      </c>
      <c r="F752" t="s">
        <v>25</v>
      </c>
      <c r="G752" t="s">
        <v>26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67.099999999999994</v>
      </c>
    </row>
    <row r="753" spans="1:16">
      <c r="A753" t="s">
        <v>812</v>
      </c>
      <c r="B753" s="2">
        <v>45762</v>
      </c>
      <c r="C753" t="s">
        <v>723</v>
      </c>
      <c r="D753" t="s">
        <v>18</v>
      </c>
      <c r="E753" t="s">
        <v>24</v>
      </c>
      <c r="F753" t="s">
        <v>39</v>
      </c>
      <c r="G753" t="s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59.6</v>
      </c>
    </row>
    <row r="754" spans="1:16">
      <c r="A754" t="s">
        <v>813</v>
      </c>
      <c r="B754" s="2">
        <v>45672</v>
      </c>
      <c r="C754" t="s">
        <v>723</v>
      </c>
      <c r="D754" t="s">
        <v>32</v>
      </c>
      <c r="E754" t="s">
        <v>19</v>
      </c>
      <c r="F754" t="s">
        <v>29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83.8</v>
      </c>
    </row>
    <row r="755" spans="1:16">
      <c r="A755" t="s">
        <v>814</v>
      </c>
      <c r="B755" s="2">
        <v>45716</v>
      </c>
      <c r="C755" t="s">
        <v>723</v>
      </c>
      <c r="D755" t="s">
        <v>18</v>
      </c>
      <c r="E755" t="s">
        <v>24</v>
      </c>
      <c r="F755" t="s">
        <v>25</v>
      </c>
      <c r="G755" t="s">
        <v>21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P755">
        <v>70.8</v>
      </c>
    </row>
    <row r="756" spans="1:16">
      <c r="A756" t="s">
        <v>815</v>
      </c>
      <c r="B756" s="2">
        <v>45658</v>
      </c>
      <c r="C756" t="s">
        <v>723</v>
      </c>
      <c r="D756" t="s">
        <v>18</v>
      </c>
      <c r="E756" t="s">
        <v>34</v>
      </c>
      <c r="F756" t="s">
        <v>25</v>
      </c>
      <c r="G756" t="s">
        <v>21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65.900000000000006</v>
      </c>
    </row>
    <row r="757" spans="1:16">
      <c r="A757" t="s">
        <v>816</v>
      </c>
      <c r="B757" s="2">
        <v>45764</v>
      </c>
      <c r="C757" t="s">
        <v>723</v>
      </c>
      <c r="D757" t="s">
        <v>23</v>
      </c>
      <c r="E757" t="s">
        <v>24</v>
      </c>
      <c r="F757" t="s">
        <v>39</v>
      </c>
      <c r="G757" t="s">
        <v>26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58</v>
      </c>
    </row>
    <row r="758" spans="1:16">
      <c r="A758" t="s">
        <v>817</v>
      </c>
      <c r="B758" s="2">
        <v>45707</v>
      </c>
      <c r="C758" t="s">
        <v>723</v>
      </c>
      <c r="D758" t="s">
        <v>18</v>
      </c>
      <c r="E758" t="s">
        <v>24</v>
      </c>
      <c r="F758" t="s">
        <v>20</v>
      </c>
      <c r="G758" t="s">
        <v>21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P758">
        <v>80.3</v>
      </c>
    </row>
    <row r="759" spans="1:16">
      <c r="A759" t="s">
        <v>818</v>
      </c>
      <c r="B759" s="2">
        <v>45730</v>
      </c>
      <c r="C759" t="s">
        <v>723</v>
      </c>
      <c r="D759" t="s">
        <v>18</v>
      </c>
      <c r="E759" t="s">
        <v>19</v>
      </c>
      <c r="F759" t="s">
        <v>25</v>
      </c>
      <c r="G759" t="s">
        <v>26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55.7</v>
      </c>
    </row>
    <row r="760" spans="1:16">
      <c r="A760" t="s">
        <v>819</v>
      </c>
      <c r="B760" s="2">
        <v>45768</v>
      </c>
      <c r="C760" t="s">
        <v>723</v>
      </c>
      <c r="D760" t="s">
        <v>18</v>
      </c>
      <c r="E760" t="s">
        <v>24</v>
      </c>
      <c r="F760" t="s">
        <v>25</v>
      </c>
      <c r="G760" t="s">
        <v>26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84.9</v>
      </c>
    </row>
    <row r="761" spans="1:16">
      <c r="A761" t="s">
        <v>820</v>
      </c>
      <c r="B761" s="2">
        <v>45702</v>
      </c>
      <c r="C761" t="s">
        <v>723</v>
      </c>
      <c r="D761" t="s">
        <v>18</v>
      </c>
      <c r="E761" t="s">
        <v>24</v>
      </c>
      <c r="F761" t="s">
        <v>25</v>
      </c>
      <c r="G761" t="s">
        <v>26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P761">
        <v>63.3</v>
      </c>
    </row>
    <row r="762" spans="1:16">
      <c r="A762" t="s">
        <v>821</v>
      </c>
      <c r="B762" s="2">
        <v>45807</v>
      </c>
      <c r="C762" t="s">
        <v>723</v>
      </c>
      <c r="D762" t="s">
        <v>23</v>
      </c>
      <c r="E762" t="s">
        <v>24</v>
      </c>
      <c r="F762" t="s">
        <v>25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53.1</v>
      </c>
    </row>
    <row r="763" spans="1:16">
      <c r="A763" t="s">
        <v>822</v>
      </c>
      <c r="B763" s="2">
        <v>45677</v>
      </c>
      <c r="C763" t="s">
        <v>723</v>
      </c>
      <c r="D763" t="s">
        <v>23</v>
      </c>
      <c r="E763" t="s">
        <v>24</v>
      </c>
      <c r="F763" t="s">
        <v>25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66</v>
      </c>
    </row>
    <row r="764" spans="1:16">
      <c r="A764" t="s">
        <v>823</v>
      </c>
      <c r="B764" s="2">
        <v>45733</v>
      </c>
      <c r="C764" t="s">
        <v>723</v>
      </c>
      <c r="D764" t="s">
        <v>23</v>
      </c>
      <c r="E764" t="s">
        <v>24</v>
      </c>
      <c r="F764" t="s">
        <v>41</v>
      </c>
      <c r="G764" t="s">
        <v>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54.7</v>
      </c>
    </row>
    <row r="765" spans="1:16">
      <c r="A765" t="s">
        <v>824</v>
      </c>
      <c r="B765" s="2">
        <v>45720</v>
      </c>
      <c r="C765" t="s">
        <v>723</v>
      </c>
      <c r="D765" t="s">
        <v>23</v>
      </c>
      <c r="E765" t="s">
        <v>24</v>
      </c>
      <c r="F765" t="s">
        <v>41</v>
      </c>
      <c r="G765" t="s">
        <v>26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  <c r="P765">
        <v>41.2</v>
      </c>
    </row>
    <row r="766" spans="1:16">
      <c r="A766" t="s">
        <v>825</v>
      </c>
      <c r="B766" s="2">
        <v>45710</v>
      </c>
      <c r="C766" t="s">
        <v>723</v>
      </c>
      <c r="D766" t="s">
        <v>32</v>
      </c>
      <c r="E766" t="s">
        <v>24</v>
      </c>
      <c r="F766" t="s">
        <v>25</v>
      </c>
      <c r="G766" t="s">
        <v>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66.7</v>
      </c>
    </row>
    <row r="767" spans="1:16">
      <c r="A767" t="s">
        <v>826</v>
      </c>
      <c r="B767" s="2">
        <v>45779</v>
      </c>
      <c r="C767" t="s">
        <v>723</v>
      </c>
      <c r="D767" t="s">
        <v>18</v>
      </c>
      <c r="E767" t="s">
        <v>24</v>
      </c>
      <c r="F767" t="s">
        <v>29</v>
      </c>
      <c r="G767" t="s">
        <v>30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39.4</v>
      </c>
    </row>
    <row r="768" spans="1:16">
      <c r="A768" t="s">
        <v>827</v>
      </c>
      <c r="B768" s="2">
        <v>45729</v>
      </c>
      <c r="C768" t="s">
        <v>723</v>
      </c>
      <c r="D768" t="s">
        <v>23</v>
      </c>
      <c r="E768" t="s">
        <v>19</v>
      </c>
      <c r="F768" t="s">
        <v>25</v>
      </c>
      <c r="G768" t="s">
        <v>30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</v>
      </c>
      <c r="N768">
        <v>0</v>
      </c>
      <c r="P768">
        <v>67</v>
      </c>
    </row>
    <row r="769" spans="1:16">
      <c r="A769" t="s">
        <v>828</v>
      </c>
      <c r="B769" s="2">
        <v>45808</v>
      </c>
      <c r="C769" t="s">
        <v>723</v>
      </c>
      <c r="D769" t="s">
        <v>32</v>
      </c>
      <c r="E769" t="s">
        <v>24</v>
      </c>
      <c r="F769" t="s">
        <v>25</v>
      </c>
      <c r="G769" t="s">
        <v>21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50.4</v>
      </c>
    </row>
    <row r="770" spans="1:16">
      <c r="A770" t="s">
        <v>829</v>
      </c>
      <c r="B770" s="2">
        <v>45723</v>
      </c>
      <c r="C770" t="s">
        <v>723</v>
      </c>
      <c r="D770" t="s">
        <v>23</v>
      </c>
      <c r="E770" t="s">
        <v>19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53.8</v>
      </c>
    </row>
    <row r="771" spans="1:16">
      <c r="A771" t="s">
        <v>830</v>
      </c>
      <c r="B771" s="2">
        <v>45710</v>
      </c>
      <c r="C771" t="s">
        <v>723</v>
      </c>
      <c r="D771" t="s">
        <v>23</v>
      </c>
      <c r="E771" t="s">
        <v>24</v>
      </c>
      <c r="F771" t="s">
        <v>29</v>
      </c>
      <c r="G771" t="s">
        <v>21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P771">
        <v>82.7</v>
      </c>
    </row>
    <row r="772" spans="1:16">
      <c r="A772" t="s">
        <v>831</v>
      </c>
      <c r="B772" s="2">
        <v>45662</v>
      </c>
      <c r="C772" t="s">
        <v>723</v>
      </c>
      <c r="D772" t="s">
        <v>23</v>
      </c>
      <c r="E772" t="s">
        <v>19</v>
      </c>
      <c r="F772" t="s">
        <v>29</v>
      </c>
      <c r="G772" t="s">
        <v>26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P772">
        <v>63.9</v>
      </c>
    </row>
    <row r="773" spans="1:16">
      <c r="A773" t="s">
        <v>832</v>
      </c>
      <c r="B773" s="2">
        <v>45678</v>
      </c>
      <c r="C773" t="s">
        <v>723</v>
      </c>
      <c r="D773" t="s">
        <v>23</v>
      </c>
      <c r="E773" t="s">
        <v>24</v>
      </c>
      <c r="F773" t="s">
        <v>39</v>
      </c>
      <c r="G773" t="s">
        <v>26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61.9</v>
      </c>
    </row>
    <row r="774" spans="1:16">
      <c r="A774" t="s">
        <v>833</v>
      </c>
      <c r="B774" s="2">
        <v>45682</v>
      </c>
      <c r="C774" t="s">
        <v>723</v>
      </c>
      <c r="D774" t="s">
        <v>18</v>
      </c>
      <c r="E774" t="s">
        <v>19</v>
      </c>
      <c r="F774" t="s">
        <v>41</v>
      </c>
      <c r="G774" t="s">
        <v>26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P774">
        <v>75</v>
      </c>
    </row>
    <row r="775" spans="1:16">
      <c r="A775" t="s">
        <v>834</v>
      </c>
      <c r="B775" s="2">
        <v>45751</v>
      </c>
      <c r="C775" t="s">
        <v>723</v>
      </c>
      <c r="D775" t="s">
        <v>23</v>
      </c>
      <c r="E775" t="s">
        <v>24</v>
      </c>
      <c r="F775" t="s">
        <v>29</v>
      </c>
      <c r="G775" t="s">
        <v>21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P775">
        <v>43</v>
      </c>
    </row>
    <row r="776" spans="1:16">
      <c r="A776" t="s">
        <v>835</v>
      </c>
      <c r="B776" s="2">
        <v>45741</v>
      </c>
      <c r="C776" t="s">
        <v>723</v>
      </c>
      <c r="D776" t="s">
        <v>18</v>
      </c>
      <c r="E776" t="s">
        <v>19</v>
      </c>
      <c r="F776" t="s">
        <v>41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54.3</v>
      </c>
    </row>
    <row r="777" spans="1:16">
      <c r="A777" t="s">
        <v>836</v>
      </c>
      <c r="B777" s="2">
        <v>45735</v>
      </c>
      <c r="C777" t="s">
        <v>723</v>
      </c>
      <c r="D777" t="s">
        <v>23</v>
      </c>
      <c r="E777" t="s">
        <v>24</v>
      </c>
      <c r="F777" t="s">
        <v>41</v>
      </c>
      <c r="G777" t="s">
        <v>26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P777">
        <v>44.3</v>
      </c>
    </row>
    <row r="778" spans="1:16">
      <c r="A778" t="s">
        <v>838</v>
      </c>
      <c r="B778" s="2">
        <v>45751</v>
      </c>
      <c r="C778" t="s">
        <v>723</v>
      </c>
      <c r="D778" t="s">
        <v>32</v>
      </c>
      <c r="E778" t="s">
        <v>34</v>
      </c>
      <c r="F778" t="s">
        <v>25</v>
      </c>
      <c r="G778" t="s">
        <v>26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2</v>
      </c>
      <c r="N778">
        <v>0</v>
      </c>
      <c r="P778">
        <v>65.3</v>
      </c>
    </row>
    <row r="779" spans="1:16">
      <c r="A779" t="s">
        <v>839</v>
      </c>
      <c r="B779" s="2">
        <v>45744</v>
      </c>
      <c r="C779" t="s">
        <v>723</v>
      </c>
      <c r="D779" t="s">
        <v>32</v>
      </c>
      <c r="E779" t="s">
        <v>19</v>
      </c>
      <c r="F779" t="s">
        <v>29</v>
      </c>
      <c r="G779" t="s">
        <v>30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71.2</v>
      </c>
    </row>
    <row r="780" spans="1:16">
      <c r="A780" t="s">
        <v>840</v>
      </c>
      <c r="B780" s="2">
        <v>45792</v>
      </c>
      <c r="C780" t="s">
        <v>723</v>
      </c>
      <c r="D780" t="s">
        <v>32</v>
      </c>
      <c r="E780" t="s">
        <v>34</v>
      </c>
      <c r="F780" t="s">
        <v>29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77.900000000000006</v>
      </c>
    </row>
    <row r="781" spans="1:16">
      <c r="A781" t="s">
        <v>841</v>
      </c>
      <c r="B781" s="2">
        <v>45729</v>
      </c>
      <c r="C781" t="s">
        <v>723</v>
      </c>
      <c r="D781" t="s">
        <v>23</v>
      </c>
      <c r="E781" t="s">
        <v>24</v>
      </c>
      <c r="F781" t="s">
        <v>29</v>
      </c>
      <c r="G781" t="s">
        <v>26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48.6</v>
      </c>
    </row>
    <row r="782" spans="1:16">
      <c r="A782" t="s">
        <v>842</v>
      </c>
      <c r="B782" s="2">
        <v>45742</v>
      </c>
      <c r="C782" t="s">
        <v>723</v>
      </c>
      <c r="D782" t="s">
        <v>18</v>
      </c>
      <c r="E782" t="s">
        <v>24</v>
      </c>
      <c r="F782" t="s">
        <v>41</v>
      </c>
      <c r="G782" t="s">
        <v>30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61.9</v>
      </c>
    </row>
    <row r="783" spans="1:16">
      <c r="A783" t="s">
        <v>843</v>
      </c>
      <c r="B783" s="2">
        <v>45666</v>
      </c>
      <c r="C783" t="s">
        <v>723</v>
      </c>
      <c r="D783" t="s">
        <v>18</v>
      </c>
      <c r="E783" t="s">
        <v>24</v>
      </c>
      <c r="F783" t="s">
        <v>41</v>
      </c>
      <c r="G783" t="s">
        <v>21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P783">
        <v>58.7</v>
      </c>
    </row>
    <row r="784" spans="1:16">
      <c r="A784" t="s">
        <v>844</v>
      </c>
      <c r="B784" s="2">
        <v>45783</v>
      </c>
      <c r="C784" t="s">
        <v>723</v>
      </c>
      <c r="D784" t="s">
        <v>32</v>
      </c>
      <c r="E784" t="s">
        <v>19</v>
      </c>
      <c r="F784" t="s">
        <v>29</v>
      </c>
      <c r="G784" t="s">
        <v>26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69.599999999999994</v>
      </c>
    </row>
    <row r="785" spans="1:16">
      <c r="A785" t="s">
        <v>845</v>
      </c>
      <c r="B785" s="2">
        <v>45705</v>
      </c>
      <c r="C785" t="s">
        <v>723</v>
      </c>
      <c r="D785" t="s">
        <v>32</v>
      </c>
      <c r="E785" t="s">
        <v>24</v>
      </c>
      <c r="F785" t="s">
        <v>25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51.5</v>
      </c>
    </row>
    <row r="786" spans="1:16">
      <c r="A786" t="s">
        <v>847</v>
      </c>
      <c r="B786" s="2">
        <v>45760</v>
      </c>
      <c r="C786" t="s">
        <v>723</v>
      </c>
      <c r="D786" t="s">
        <v>23</v>
      </c>
      <c r="E786" t="s">
        <v>34</v>
      </c>
      <c r="F786" t="s">
        <v>25</v>
      </c>
      <c r="G786" t="s">
        <v>26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81.7</v>
      </c>
    </row>
    <row r="787" spans="1:16">
      <c r="A787" t="s">
        <v>848</v>
      </c>
      <c r="B787" s="2">
        <v>45797</v>
      </c>
      <c r="C787" t="s">
        <v>723</v>
      </c>
      <c r="D787" t="s">
        <v>28</v>
      </c>
      <c r="E787" t="s">
        <v>19</v>
      </c>
      <c r="F787" t="s">
        <v>39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48.3</v>
      </c>
    </row>
    <row r="788" spans="1:16">
      <c r="A788" t="s">
        <v>849</v>
      </c>
      <c r="B788" s="2">
        <v>45747</v>
      </c>
      <c r="C788" t="s">
        <v>723</v>
      </c>
      <c r="D788" t="s">
        <v>28</v>
      </c>
      <c r="E788" t="s">
        <v>24</v>
      </c>
      <c r="F788" t="s">
        <v>20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85.6</v>
      </c>
    </row>
    <row r="789" spans="1:16">
      <c r="A789" t="s">
        <v>850</v>
      </c>
      <c r="B789" s="2">
        <v>45750</v>
      </c>
      <c r="C789" t="s">
        <v>723</v>
      </c>
      <c r="D789" t="s">
        <v>23</v>
      </c>
      <c r="E789" t="s">
        <v>34</v>
      </c>
      <c r="F789" t="s">
        <v>29</v>
      </c>
      <c r="G789" t="s">
        <v>21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53.8</v>
      </c>
    </row>
    <row r="790" spans="1:16">
      <c r="A790" t="s">
        <v>852</v>
      </c>
      <c r="B790" s="2">
        <v>45796</v>
      </c>
      <c r="C790" t="s">
        <v>723</v>
      </c>
      <c r="D790" t="s">
        <v>28</v>
      </c>
      <c r="E790" t="s">
        <v>24</v>
      </c>
      <c r="F790" t="s">
        <v>25</v>
      </c>
      <c r="G790" t="s">
        <v>26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74.8</v>
      </c>
    </row>
    <row r="791" spans="1:16">
      <c r="A791" t="s">
        <v>853</v>
      </c>
      <c r="B791" s="2">
        <v>45724</v>
      </c>
      <c r="C791" t="s">
        <v>723</v>
      </c>
      <c r="D791" t="s">
        <v>28</v>
      </c>
      <c r="E791" t="s">
        <v>19</v>
      </c>
      <c r="F791" t="s">
        <v>29</v>
      </c>
      <c r="G791" t="s">
        <v>21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87.9</v>
      </c>
    </row>
    <row r="792" spans="1:16">
      <c r="A792" t="s">
        <v>854</v>
      </c>
      <c r="B792" s="2">
        <v>45787</v>
      </c>
      <c r="C792" t="s">
        <v>723</v>
      </c>
      <c r="D792" t="s">
        <v>18</v>
      </c>
      <c r="E792" t="s">
        <v>24</v>
      </c>
      <c r="F792" t="s">
        <v>41</v>
      </c>
      <c r="G792" t="s">
        <v>21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0</v>
      </c>
      <c r="P792">
        <v>49.1</v>
      </c>
    </row>
    <row r="793" spans="1:16">
      <c r="A793" t="s">
        <v>855</v>
      </c>
      <c r="B793" s="2">
        <v>45659</v>
      </c>
      <c r="C793" t="s">
        <v>723</v>
      </c>
      <c r="D793" t="s">
        <v>28</v>
      </c>
      <c r="E793" t="s">
        <v>19</v>
      </c>
      <c r="F793" t="s">
        <v>41</v>
      </c>
      <c r="G793" t="s">
        <v>21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0</v>
      </c>
      <c r="P793">
        <v>73</v>
      </c>
    </row>
    <row r="794" spans="1:16">
      <c r="A794" t="s">
        <v>856</v>
      </c>
      <c r="B794" s="2">
        <v>45674</v>
      </c>
      <c r="C794" t="s">
        <v>723</v>
      </c>
      <c r="D794" t="s">
        <v>23</v>
      </c>
      <c r="E794" t="s">
        <v>24</v>
      </c>
      <c r="F794" t="s">
        <v>25</v>
      </c>
      <c r="G794" t="s">
        <v>21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79.5</v>
      </c>
    </row>
    <row r="795" spans="1:16">
      <c r="A795" t="s">
        <v>858</v>
      </c>
      <c r="B795" s="2">
        <v>45802</v>
      </c>
      <c r="C795" t="s">
        <v>723</v>
      </c>
      <c r="D795" t="s">
        <v>28</v>
      </c>
      <c r="E795" t="s">
        <v>19</v>
      </c>
      <c r="F795" t="s">
        <v>39</v>
      </c>
      <c r="G795" t="s">
        <v>26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3</v>
      </c>
      <c r="N795">
        <v>0</v>
      </c>
      <c r="P795">
        <v>77.5</v>
      </c>
    </row>
    <row r="796" spans="1:16">
      <c r="A796" t="s">
        <v>859</v>
      </c>
      <c r="B796" s="2">
        <v>45662</v>
      </c>
      <c r="C796" t="s">
        <v>723</v>
      </c>
      <c r="D796" t="s">
        <v>23</v>
      </c>
      <c r="E796" t="s">
        <v>24</v>
      </c>
      <c r="F796" t="s">
        <v>20</v>
      </c>
      <c r="G796" t="s">
        <v>21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61</v>
      </c>
    </row>
    <row r="797" spans="1:16">
      <c r="A797" t="s">
        <v>860</v>
      </c>
      <c r="B797" s="2">
        <v>45712</v>
      </c>
      <c r="C797" t="s">
        <v>723</v>
      </c>
      <c r="D797" t="s">
        <v>32</v>
      </c>
      <c r="E797" t="s">
        <v>19</v>
      </c>
      <c r="F797" t="s">
        <v>25</v>
      </c>
      <c r="G797" t="s">
        <v>26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64.900000000000006</v>
      </c>
    </row>
    <row r="798" spans="1:16">
      <c r="A798" t="s">
        <v>861</v>
      </c>
      <c r="B798" s="2">
        <v>45678</v>
      </c>
      <c r="C798" t="s">
        <v>723</v>
      </c>
      <c r="D798" t="s">
        <v>28</v>
      </c>
      <c r="E798" t="s">
        <v>24</v>
      </c>
      <c r="F798" t="s">
        <v>29</v>
      </c>
      <c r="G798" t="s">
        <v>21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87.5</v>
      </c>
    </row>
    <row r="799" spans="1:16">
      <c r="A799" t="s">
        <v>863</v>
      </c>
      <c r="B799" s="2">
        <v>45664</v>
      </c>
      <c r="C799" t="s">
        <v>723</v>
      </c>
      <c r="D799" t="s">
        <v>23</v>
      </c>
      <c r="E799" t="s">
        <v>19</v>
      </c>
      <c r="F799" t="s">
        <v>25</v>
      </c>
      <c r="G799" t="s">
        <v>26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>
        <v>66.900000000000006</v>
      </c>
    </row>
    <row r="800" spans="1:16">
      <c r="A800" t="s">
        <v>864</v>
      </c>
      <c r="B800" s="2">
        <v>45808</v>
      </c>
      <c r="C800" t="s">
        <v>723</v>
      </c>
      <c r="D800" t="s">
        <v>32</v>
      </c>
      <c r="E800" t="s">
        <v>34</v>
      </c>
      <c r="F800" t="s">
        <v>25</v>
      </c>
      <c r="G800" t="s">
        <v>21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58.8</v>
      </c>
    </row>
    <row r="801" spans="1:16">
      <c r="A801" t="s">
        <v>866</v>
      </c>
      <c r="B801" s="2">
        <v>45768</v>
      </c>
      <c r="C801" t="s">
        <v>723</v>
      </c>
      <c r="D801" t="s">
        <v>28</v>
      </c>
      <c r="E801" t="s">
        <v>24</v>
      </c>
      <c r="F801" t="s">
        <v>25</v>
      </c>
      <c r="G801" t="s">
        <v>26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P801">
        <v>60.2</v>
      </c>
    </row>
    <row r="802" spans="1:16">
      <c r="A802" t="s">
        <v>867</v>
      </c>
      <c r="B802" s="2">
        <v>45782</v>
      </c>
      <c r="C802" t="s">
        <v>723</v>
      </c>
      <c r="D802" t="s">
        <v>28</v>
      </c>
      <c r="E802" t="s">
        <v>24</v>
      </c>
      <c r="F802" t="s">
        <v>29</v>
      </c>
      <c r="G802" t="s">
        <v>21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P802">
        <v>42.7</v>
      </c>
    </row>
    <row r="803" spans="1:16">
      <c r="A803" t="s">
        <v>870</v>
      </c>
      <c r="B803" s="2">
        <v>45768</v>
      </c>
      <c r="C803" t="s">
        <v>723</v>
      </c>
      <c r="D803" t="s">
        <v>32</v>
      </c>
      <c r="E803" t="s">
        <v>24</v>
      </c>
      <c r="F803" t="s">
        <v>25</v>
      </c>
      <c r="G803" t="s">
        <v>21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P803">
        <v>88.6</v>
      </c>
    </row>
    <row r="804" spans="1:16">
      <c r="A804" t="s">
        <v>871</v>
      </c>
      <c r="B804" s="2">
        <v>45697</v>
      </c>
      <c r="C804" t="s">
        <v>723</v>
      </c>
      <c r="D804" t="s">
        <v>23</v>
      </c>
      <c r="E804" t="s">
        <v>24</v>
      </c>
      <c r="F804" t="s">
        <v>25</v>
      </c>
      <c r="G804" t="s">
        <v>21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P804">
        <v>63.1</v>
      </c>
    </row>
    <row r="805" spans="1:16">
      <c r="A805" t="s">
        <v>872</v>
      </c>
      <c r="B805" s="2">
        <v>45666</v>
      </c>
      <c r="C805" t="s">
        <v>723</v>
      </c>
      <c r="D805" t="s">
        <v>28</v>
      </c>
      <c r="E805" t="s">
        <v>24</v>
      </c>
      <c r="F805" t="s">
        <v>25</v>
      </c>
      <c r="G805" t="s">
        <v>30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39.700000000000003</v>
      </c>
    </row>
    <row r="806" spans="1:16">
      <c r="A806" t="s">
        <v>873</v>
      </c>
      <c r="B806" s="2">
        <v>45704</v>
      </c>
      <c r="C806" t="s">
        <v>723</v>
      </c>
      <c r="D806" t="s">
        <v>18</v>
      </c>
      <c r="E806" t="s">
        <v>24</v>
      </c>
      <c r="F806" t="s">
        <v>29</v>
      </c>
      <c r="G806" t="s">
        <v>21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67.2</v>
      </c>
    </row>
    <row r="807" spans="1:16">
      <c r="A807" t="s">
        <v>874</v>
      </c>
      <c r="B807" s="2">
        <v>45709</v>
      </c>
      <c r="C807" t="s">
        <v>723</v>
      </c>
      <c r="D807" t="s">
        <v>32</v>
      </c>
      <c r="E807" t="s">
        <v>24</v>
      </c>
      <c r="F807" t="s">
        <v>25</v>
      </c>
      <c r="G807" t="s">
        <v>26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P807">
        <v>62.3</v>
      </c>
    </row>
    <row r="808" spans="1:16">
      <c r="A808" t="s">
        <v>875</v>
      </c>
      <c r="B808" s="2">
        <v>45696</v>
      </c>
      <c r="C808" t="s">
        <v>723</v>
      </c>
      <c r="D808" t="s">
        <v>32</v>
      </c>
      <c r="E808" t="s">
        <v>24</v>
      </c>
      <c r="F808" t="s">
        <v>25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6">
      <c r="A809" t="s">
        <v>876</v>
      </c>
      <c r="B809" s="2">
        <v>45679</v>
      </c>
      <c r="C809" t="s">
        <v>723</v>
      </c>
      <c r="D809" t="s">
        <v>32</v>
      </c>
      <c r="E809" t="s">
        <v>24</v>
      </c>
      <c r="F809" t="s">
        <v>29</v>
      </c>
      <c r="G809" t="s">
        <v>30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60.7</v>
      </c>
    </row>
    <row r="810" spans="1:16">
      <c r="A810" t="s">
        <v>877</v>
      </c>
      <c r="B810" s="2">
        <v>45748</v>
      </c>
      <c r="C810" t="s">
        <v>723</v>
      </c>
      <c r="D810" t="s">
        <v>23</v>
      </c>
      <c r="E810" t="s">
        <v>24</v>
      </c>
      <c r="F810" t="s">
        <v>25</v>
      </c>
      <c r="G810" t="s">
        <v>21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61.5</v>
      </c>
    </row>
    <row r="811" spans="1:16">
      <c r="A811" t="s">
        <v>878</v>
      </c>
      <c r="B811" s="2">
        <v>45678</v>
      </c>
      <c r="C811" t="s">
        <v>723</v>
      </c>
      <c r="D811" t="s">
        <v>18</v>
      </c>
      <c r="E811" t="s">
        <v>24</v>
      </c>
      <c r="F811" t="s">
        <v>29</v>
      </c>
      <c r="G811" t="s">
        <v>21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75</v>
      </c>
    </row>
    <row r="812" spans="1:16">
      <c r="A812" t="s">
        <v>879</v>
      </c>
      <c r="B812" s="2">
        <v>45659</v>
      </c>
      <c r="C812" t="s">
        <v>723</v>
      </c>
      <c r="D812" t="s">
        <v>28</v>
      </c>
      <c r="E812" t="s">
        <v>19</v>
      </c>
      <c r="F812" t="s">
        <v>25</v>
      </c>
      <c r="G812" t="s">
        <v>26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P812">
        <v>51.9</v>
      </c>
    </row>
    <row r="813" spans="1:16">
      <c r="A813" t="s">
        <v>880</v>
      </c>
      <c r="B813" s="2">
        <v>45789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34.5</v>
      </c>
    </row>
    <row r="814" spans="1:16">
      <c r="A814" t="s">
        <v>881</v>
      </c>
      <c r="B814" s="2">
        <v>45721</v>
      </c>
      <c r="C814" t="s">
        <v>723</v>
      </c>
      <c r="D814" t="s">
        <v>32</v>
      </c>
      <c r="E814" t="s">
        <v>24</v>
      </c>
      <c r="F814" t="s">
        <v>41</v>
      </c>
      <c r="G814" t="s">
        <v>21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54.5</v>
      </c>
    </row>
    <row r="815" spans="1:16">
      <c r="A815" t="s">
        <v>882</v>
      </c>
      <c r="B815" s="2">
        <v>45681</v>
      </c>
      <c r="C815" t="s">
        <v>723</v>
      </c>
      <c r="D815" t="s">
        <v>28</v>
      </c>
      <c r="E815" t="s">
        <v>24</v>
      </c>
      <c r="F815" t="s">
        <v>25</v>
      </c>
      <c r="G815" t="s">
        <v>26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46</v>
      </c>
    </row>
    <row r="816" spans="1:16">
      <c r="A816" t="s">
        <v>883</v>
      </c>
      <c r="B816" s="2">
        <v>45688</v>
      </c>
      <c r="C816" t="s">
        <v>723</v>
      </c>
      <c r="D816" t="s">
        <v>28</v>
      </c>
      <c r="E816" t="s">
        <v>19</v>
      </c>
      <c r="F816" t="s">
        <v>20</v>
      </c>
      <c r="G816" t="s">
        <v>26</v>
      </c>
      <c r="H816">
        <v>1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P816">
        <v>88.4</v>
      </c>
    </row>
    <row r="817" spans="1:16">
      <c r="A817" t="s">
        <v>884</v>
      </c>
      <c r="B817" s="2">
        <v>45681</v>
      </c>
      <c r="C817" t="s">
        <v>723</v>
      </c>
      <c r="D817" t="s">
        <v>18</v>
      </c>
      <c r="E817" t="s">
        <v>34</v>
      </c>
      <c r="F817" t="s">
        <v>25</v>
      </c>
      <c r="G817" t="s">
        <v>21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69.5</v>
      </c>
    </row>
    <row r="818" spans="1:16">
      <c r="A818" t="s">
        <v>885</v>
      </c>
      <c r="B818" s="2">
        <v>45702</v>
      </c>
      <c r="C818" t="s">
        <v>723</v>
      </c>
      <c r="D818" t="s">
        <v>18</v>
      </c>
      <c r="E818" t="s">
        <v>19</v>
      </c>
      <c r="F818" t="s">
        <v>39</v>
      </c>
      <c r="G818" t="s">
        <v>21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P818">
        <v>74.2</v>
      </c>
    </row>
    <row r="819" spans="1:16">
      <c r="A819" t="s">
        <v>886</v>
      </c>
      <c r="B819" s="2">
        <v>45804</v>
      </c>
      <c r="C819" t="s">
        <v>723</v>
      </c>
      <c r="D819" t="s">
        <v>18</v>
      </c>
      <c r="E819" t="s">
        <v>24</v>
      </c>
      <c r="F819" t="s">
        <v>25</v>
      </c>
      <c r="G819" t="s">
        <v>26</v>
      </c>
      <c r="H819">
        <v>1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P819">
        <v>72.099999999999994</v>
      </c>
    </row>
    <row r="820" spans="1:16">
      <c r="A820" t="s">
        <v>888</v>
      </c>
      <c r="B820" s="2">
        <v>45804</v>
      </c>
      <c r="C820" t="s">
        <v>723</v>
      </c>
      <c r="D820" t="s">
        <v>18</v>
      </c>
      <c r="E820" t="s">
        <v>24</v>
      </c>
      <c r="F820" t="s">
        <v>25</v>
      </c>
      <c r="G820" t="s">
        <v>21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P820">
        <v>49.5</v>
      </c>
    </row>
    <row r="821" spans="1:16">
      <c r="A821" t="s">
        <v>889</v>
      </c>
      <c r="B821" s="2">
        <v>45794</v>
      </c>
      <c r="C821" t="s">
        <v>723</v>
      </c>
      <c r="D821" t="s">
        <v>32</v>
      </c>
      <c r="E821" t="s">
        <v>24</v>
      </c>
      <c r="F821" t="s">
        <v>29</v>
      </c>
      <c r="G821" t="s">
        <v>30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P821">
        <v>79</v>
      </c>
    </row>
    <row r="822" spans="1:16">
      <c r="A822" t="s">
        <v>890</v>
      </c>
      <c r="B822" s="2">
        <v>45667</v>
      </c>
      <c r="C822" t="s">
        <v>723</v>
      </c>
      <c r="D822" t="s">
        <v>23</v>
      </c>
      <c r="E822" t="s">
        <v>19</v>
      </c>
      <c r="F822" t="s">
        <v>41</v>
      </c>
      <c r="G822" t="s">
        <v>26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71.8</v>
      </c>
    </row>
    <row r="823" spans="1:16">
      <c r="A823" t="s">
        <v>892</v>
      </c>
      <c r="B823" s="2">
        <v>45718</v>
      </c>
      <c r="C823" t="s">
        <v>723</v>
      </c>
      <c r="D823" t="s">
        <v>32</v>
      </c>
      <c r="E823" t="s">
        <v>19</v>
      </c>
      <c r="F823" t="s">
        <v>25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2</v>
      </c>
      <c r="N823">
        <v>0</v>
      </c>
      <c r="P823">
        <v>38.299999999999997</v>
      </c>
    </row>
    <row r="824" spans="1:16">
      <c r="A824" t="s">
        <v>893</v>
      </c>
      <c r="B824" s="2">
        <v>45739</v>
      </c>
      <c r="C824" t="s">
        <v>723</v>
      </c>
      <c r="D824" t="s">
        <v>28</v>
      </c>
      <c r="E824" t="s">
        <v>24</v>
      </c>
      <c r="F824" t="s">
        <v>29</v>
      </c>
      <c r="G824" t="s">
        <v>26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P824">
        <v>79.599999999999994</v>
      </c>
    </row>
    <row r="825" spans="1:16">
      <c r="A825" t="s">
        <v>894</v>
      </c>
      <c r="B825" s="2">
        <v>45700</v>
      </c>
      <c r="C825" t="s">
        <v>723</v>
      </c>
      <c r="D825" t="s">
        <v>28</v>
      </c>
      <c r="E825" t="s">
        <v>24</v>
      </c>
      <c r="F825" t="s">
        <v>20</v>
      </c>
      <c r="G825" t="s">
        <v>26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P825">
        <v>71.900000000000006</v>
      </c>
    </row>
    <row r="826" spans="1:16">
      <c r="A826" t="s">
        <v>895</v>
      </c>
      <c r="B826" s="2">
        <v>45780</v>
      </c>
      <c r="C826" t="s">
        <v>723</v>
      </c>
      <c r="D826" t="s">
        <v>32</v>
      </c>
      <c r="E826" t="s">
        <v>24</v>
      </c>
      <c r="F826" t="s">
        <v>39</v>
      </c>
      <c r="G826" t="s">
        <v>21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54.6</v>
      </c>
    </row>
    <row r="827" spans="1:16">
      <c r="A827" t="s">
        <v>896</v>
      </c>
      <c r="B827" s="2">
        <v>45744</v>
      </c>
      <c r="C827" t="s">
        <v>723</v>
      </c>
      <c r="D827" t="s">
        <v>18</v>
      </c>
      <c r="E827" t="s">
        <v>19</v>
      </c>
      <c r="F827" t="s">
        <v>41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49.3</v>
      </c>
    </row>
    <row r="828" spans="1:16">
      <c r="A828" t="s">
        <v>897</v>
      </c>
      <c r="B828" s="2">
        <v>45728</v>
      </c>
      <c r="C828" t="s">
        <v>723</v>
      </c>
      <c r="D828" t="s">
        <v>18</v>
      </c>
      <c r="E828" t="s">
        <v>24</v>
      </c>
      <c r="F828" t="s">
        <v>41</v>
      </c>
      <c r="G828" t="s">
        <v>21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P828">
        <v>66.900000000000006</v>
      </c>
    </row>
    <row r="829" spans="1:16">
      <c r="A829" t="s">
        <v>898</v>
      </c>
      <c r="B829" s="2">
        <v>45774</v>
      </c>
      <c r="C829" t="s">
        <v>723</v>
      </c>
      <c r="D829" t="s">
        <v>28</v>
      </c>
      <c r="E829" t="s">
        <v>24</v>
      </c>
      <c r="F829" t="s">
        <v>29</v>
      </c>
      <c r="G829" t="s">
        <v>26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P829">
        <v>77.8</v>
      </c>
    </row>
    <row r="830" spans="1:16">
      <c r="A830" t="s">
        <v>899</v>
      </c>
      <c r="B830" s="2">
        <v>45749</v>
      </c>
      <c r="C830" t="s">
        <v>723</v>
      </c>
      <c r="D830" t="s">
        <v>32</v>
      </c>
      <c r="E830" t="s">
        <v>24</v>
      </c>
      <c r="F830" t="s">
        <v>39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63</v>
      </c>
    </row>
    <row r="831" spans="1:16">
      <c r="A831" t="s">
        <v>900</v>
      </c>
      <c r="B831" s="2">
        <v>45768</v>
      </c>
      <c r="C831" t="s">
        <v>723</v>
      </c>
      <c r="D831" t="s">
        <v>18</v>
      </c>
      <c r="E831" t="s">
        <v>24</v>
      </c>
      <c r="F831" t="s">
        <v>41</v>
      </c>
      <c r="G831" t="s">
        <v>26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79.8</v>
      </c>
    </row>
    <row r="832" spans="1:16">
      <c r="A832" t="s">
        <v>901</v>
      </c>
      <c r="B832" s="2">
        <v>45683</v>
      </c>
      <c r="C832" t="s">
        <v>723</v>
      </c>
      <c r="D832" t="s">
        <v>23</v>
      </c>
      <c r="E832" t="s">
        <v>19</v>
      </c>
      <c r="F832" t="s">
        <v>25</v>
      </c>
      <c r="G832" t="s">
        <v>21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69.900000000000006</v>
      </c>
    </row>
    <row r="833" spans="1:16">
      <c r="A833" t="s">
        <v>902</v>
      </c>
      <c r="B833" s="2">
        <v>45663</v>
      </c>
      <c r="C833" t="s">
        <v>723</v>
      </c>
      <c r="D833" t="s">
        <v>23</v>
      </c>
      <c r="E833" t="s">
        <v>24</v>
      </c>
      <c r="F833" t="s">
        <v>25</v>
      </c>
      <c r="G833" t="s">
        <v>26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P833">
        <v>66.400000000000006</v>
      </c>
    </row>
    <row r="834" spans="1:16">
      <c r="A834" t="s">
        <v>903</v>
      </c>
      <c r="B834" s="2">
        <v>45695</v>
      </c>
      <c r="C834" t="s">
        <v>723</v>
      </c>
      <c r="D834" t="s">
        <v>28</v>
      </c>
      <c r="E834" t="s">
        <v>24</v>
      </c>
      <c r="F834" t="s">
        <v>25</v>
      </c>
      <c r="G834" t="s">
        <v>26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P834">
        <v>27.6</v>
      </c>
    </row>
    <row r="835" spans="1:16">
      <c r="A835" t="s">
        <v>904</v>
      </c>
      <c r="B835" s="2">
        <v>45784</v>
      </c>
      <c r="C835" t="s">
        <v>723</v>
      </c>
      <c r="D835" t="s">
        <v>23</v>
      </c>
      <c r="E835" t="s">
        <v>24</v>
      </c>
      <c r="F835" t="s">
        <v>25</v>
      </c>
      <c r="G835" t="s">
        <v>30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P835">
        <v>56.5</v>
      </c>
    </row>
    <row r="836" spans="1:16">
      <c r="A836" t="s">
        <v>905</v>
      </c>
      <c r="B836" s="2">
        <v>45769</v>
      </c>
      <c r="C836" t="s">
        <v>723</v>
      </c>
      <c r="D836" t="s">
        <v>23</v>
      </c>
      <c r="F836" t="s">
        <v>41</v>
      </c>
      <c r="G836" t="s">
        <v>26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67.8</v>
      </c>
    </row>
    <row r="837" spans="1:16">
      <c r="A837" t="s">
        <v>906</v>
      </c>
      <c r="B837" s="2">
        <v>45781</v>
      </c>
      <c r="C837" t="s">
        <v>723</v>
      </c>
      <c r="D837" t="s">
        <v>23</v>
      </c>
      <c r="E837" t="s">
        <v>19</v>
      </c>
      <c r="F837" t="s">
        <v>41</v>
      </c>
      <c r="G837" t="s">
        <v>26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80</v>
      </c>
    </row>
    <row r="838" spans="1:16">
      <c r="A838" t="s">
        <v>907</v>
      </c>
      <c r="B838" s="2">
        <v>45793</v>
      </c>
      <c r="C838" t="s">
        <v>723</v>
      </c>
      <c r="D838" t="s">
        <v>32</v>
      </c>
      <c r="E838" t="s">
        <v>24</v>
      </c>
      <c r="F838" t="s">
        <v>41</v>
      </c>
      <c r="G838" t="s">
        <v>21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1</v>
      </c>
      <c r="N838">
        <v>0</v>
      </c>
      <c r="P838">
        <v>80.900000000000006</v>
      </c>
    </row>
    <row r="839" spans="1:16">
      <c r="A839" t="s">
        <v>908</v>
      </c>
      <c r="B839" s="2">
        <v>45699</v>
      </c>
      <c r="C839" t="s">
        <v>723</v>
      </c>
      <c r="D839" t="s">
        <v>23</v>
      </c>
      <c r="E839" t="s">
        <v>24</v>
      </c>
      <c r="F839" t="s">
        <v>29</v>
      </c>
      <c r="G839" t="s">
        <v>26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34.5</v>
      </c>
    </row>
    <row r="840" spans="1:16">
      <c r="A840" t="s">
        <v>909</v>
      </c>
      <c r="B840" s="2">
        <v>45786</v>
      </c>
      <c r="C840" t="s">
        <v>723</v>
      </c>
      <c r="D840" t="s">
        <v>28</v>
      </c>
      <c r="E840" t="s">
        <v>19</v>
      </c>
      <c r="F840" t="s">
        <v>25</v>
      </c>
      <c r="G840" t="s">
        <v>30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P840">
        <v>73.5</v>
      </c>
    </row>
    <row r="841" spans="1:16">
      <c r="A841" t="s">
        <v>910</v>
      </c>
      <c r="B841" s="2">
        <v>45697</v>
      </c>
      <c r="C841" t="s">
        <v>723</v>
      </c>
      <c r="D841" t="s">
        <v>32</v>
      </c>
      <c r="E841" t="s">
        <v>19</v>
      </c>
      <c r="F841" t="s">
        <v>29</v>
      </c>
      <c r="G841" t="s">
        <v>26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70</v>
      </c>
    </row>
    <row r="842" spans="1:16">
      <c r="A842" t="s">
        <v>911</v>
      </c>
      <c r="B842" s="2">
        <v>45799</v>
      </c>
      <c r="C842" t="s">
        <v>723</v>
      </c>
      <c r="D842" t="s">
        <v>23</v>
      </c>
      <c r="E842" t="s">
        <v>24</v>
      </c>
      <c r="F842" t="s">
        <v>41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86.9</v>
      </c>
    </row>
    <row r="843" spans="1:16">
      <c r="A843" t="s">
        <v>912</v>
      </c>
      <c r="B843" s="2">
        <v>45801</v>
      </c>
      <c r="C843" t="s">
        <v>723</v>
      </c>
      <c r="D843" t="s">
        <v>28</v>
      </c>
      <c r="E843" t="s">
        <v>24</v>
      </c>
      <c r="F843" t="s">
        <v>41</v>
      </c>
      <c r="G843" t="s">
        <v>21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P843">
        <v>66.900000000000006</v>
      </c>
    </row>
    <row r="844" spans="1:16">
      <c r="A844" t="s">
        <v>913</v>
      </c>
      <c r="B844" s="2">
        <v>45774</v>
      </c>
      <c r="C844" t="s">
        <v>723</v>
      </c>
      <c r="D844" t="s">
        <v>32</v>
      </c>
      <c r="E844" t="s">
        <v>19</v>
      </c>
      <c r="F844" t="s">
        <v>41</v>
      </c>
      <c r="G844" t="s">
        <v>21</v>
      </c>
      <c r="H844">
        <v>1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P844">
        <v>58.3</v>
      </c>
    </row>
    <row r="845" spans="1:16">
      <c r="A845" t="s">
        <v>914</v>
      </c>
      <c r="B845" s="2">
        <v>45735</v>
      </c>
      <c r="C845" t="s">
        <v>723</v>
      </c>
      <c r="D845" t="s">
        <v>28</v>
      </c>
      <c r="E845" t="s">
        <v>24</v>
      </c>
      <c r="F845" t="s">
        <v>29</v>
      </c>
      <c r="G845" t="s">
        <v>26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45</v>
      </c>
    </row>
    <row r="846" spans="1:16">
      <c r="A846" t="s">
        <v>915</v>
      </c>
      <c r="B846" s="2">
        <v>45797</v>
      </c>
      <c r="C846" t="s">
        <v>723</v>
      </c>
      <c r="D846" t="s">
        <v>32</v>
      </c>
      <c r="E846" t="s">
        <v>24</v>
      </c>
      <c r="F846" t="s">
        <v>25</v>
      </c>
      <c r="G846" t="s">
        <v>30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60.8</v>
      </c>
    </row>
    <row r="847" spans="1:16">
      <c r="A847" t="s">
        <v>916</v>
      </c>
      <c r="B847" s="2">
        <v>45787</v>
      </c>
      <c r="C847" t="s">
        <v>723</v>
      </c>
      <c r="D847" t="s">
        <v>18</v>
      </c>
      <c r="E847" t="s">
        <v>24</v>
      </c>
      <c r="F847" t="s">
        <v>20</v>
      </c>
      <c r="G847" t="s">
        <v>30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4</v>
      </c>
      <c r="N847">
        <v>0</v>
      </c>
      <c r="P847">
        <v>53.7</v>
      </c>
    </row>
    <row r="848" spans="1:16">
      <c r="A848" t="s">
        <v>917</v>
      </c>
      <c r="B848" s="2">
        <v>45745</v>
      </c>
      <c r="C848" t="s">
        <v>723</v>
      </c>
      <c r="D848" t="s">
        <v>28</v>
      </c>
      <c r="E848" t="s">
        <v>24</v>
      </c>
      <c r="F848" t="s">
        <v>41</v>
      </c>
      <c r="G848" t="s">
        <v>26</v>
      </c>
      <c r="H848">
        <v>1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P848">
        <v>48.8</v>
      </c>
    </row>
    <row r="849" spans="1:16">
      <c r="A849" t="s">
        <v>918</v>
      </c>
      <c r="B849" s="2">
        <v>45750</v>
      </c>
      <c r="C849" t="s">
        <v>723</v>
      </c>
      <c r="D849" t="s">
        <v>23</v>
      </c>
      <c r="E849" t="s">
        <v>19</v>
      </c>
      <c r="F849" t="s">
        <v>39</v>
      </c>
      <c r="G849" t="s">
        <v>21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52.9</v>
      </c>
    </row>
    <row r="850" spans="1:16">
      <c r="A850" t="s">
        <v>919</v>
      </c>
      <c r="B850" s="2">
        <v>45807</v>
      </c>
      <c r="C850" t="s">
        <v>723</v>
      </c>
      <c r="D850" t="s">
        <v>32</v>
      </c>
      <c r="E850" t="s">
        <v>24</v>
      </c>
      <c r="F850" t="s">
        <v>20</v>
      </c>
      <c r="G850" t="s">
        <v>26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42.4</v>
      </c>
    </row>
    <row r="851" spans="1:16">
      <c r="A851" t="s">
        <v>920</v>
      </c>
      <c r="B851" s="2">
        <v>45753</v>
      </c>
      <c r="C851" t="s">
        <v>723</v>
      </c>
      <c r="D851" t="s">
        <v>28</v>
      </c>
      <c r="E851" t="s">
        <v>19</v>
      </c>
      <c r="F851" t="s">
        <v>20</v>
      </c>
      <c r="G851" t="s">
        <v>26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58.7</v>
      </c>
    </row>
    <row r="852" spans="1:16">
      <c r="A852" t="s">
        <v>922</v>
      </c>
      <c r="B852" s="2">
        <v>45712</v>
      </c>
      <c r="C852" t="s">
        <v>723</v>
      </c>
      <c r="D852" t="s">
        <v>32</v>
      </c>
      <c r="E852" t="s">
        <v>19</v>
      </c>
      <c r="F852" t="s">
        <v>29</v>
      </c>
      <c r="G852" t="s">
        <v>21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62.6</v>
      </c>
    </row>
    <row r="853" spans="1:16">
      <c r="A853" t="s">
        <v>923</v>
      </c>
      <c r="B853" s="2">
        <v>45720</v>
      </c>
      <c r="C853" t="s">
        <v>723</v>
      </c>
      <c r="D853" t="s">
        <v>23</v>
      </c>
      <c r="E853" t="s">
        <v>24</v>
      </c>
      <c r="F853" t="s">
        <v>20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82.4</v>
      </c>
    </row>
    <row r="854" spans="1:16">
      <c r="A854" t="s">
        <v>924</v>
      </c>
      <c r="B854" s="2">
        <v>45749</v>
      </c>
      <c r="C854" t="s">
        <v>723</v>
      </c>
      <c r="D854" t="s">
        <v>18</v>
      </c>
      <c r="E854" t="s">
        <v>24</v>
      </c>
      <c r="F854" t="s">
        <v>25</v>
      </c>
      <c r="G854" t="s">
        <v>26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50.4</v>
      </c>
    </row>
    <row r="855" spans="1:16">
      <c r="A855" t="s">
        <v>925</v>
      </c>
      <c r="B855" s="2">
        <v>45788</v>
      </c>
      <c r="C855" t="s">
        <v>723</v>
      </c>
      <c r="D855" t="s">
        <v>18</v>
      </c>
      <c r="E855" t="s">
        <v>24</v>
      </c>
      <c r="F855" t="s">
        <v>20</v>
      </c>
      <c r="G855" t="s">
        <v>30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P855">
        <v>68.400000000000006</v>
      </c>
    </row>
    <row r="856" spans="1:16">
      <c r="A856" t="s">
        <v>926</v>
      </c>
      <c r="B856" s="2">
        <v>45787</v>
      </c>
      <c r="C856" t="s">
        <v>723</v>
      </c>
      <c r="D856" t="s">
        <v>23</v>
      </c>
      <c r="E856" t="s">
        <v>34</v>
      </c>
      <c r="F856" t="s">
        <v>29</v>
      </c>
      <c r="G856" t="s">
        <v>21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P856">
        <v>58.8</v>
      </c>
    </row>
    <row r="857" spans="1:16">
      <c r="A857" t="s">
        <v>927</v>
      </c>
      <c r="B857" s="2">
        <v>45783</v>
      </c>
      <c r="C857" t="s">
        <v>723</v>
      </c>
      <c r="D857" t="s">
        <v>23</v>
      </c>
      <c r="E857" t="s">
        <v>24</v>
      </c>
      <c r="F857" t="s">
        <v>39</v>
      </c>
      <c r="G857" t="s">
        <v>26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2</v>
      </c>
      <c r="N857">
        <v>0</v>
      </c>
      <c r="P857">
        <v>28.3</v>
      </c>
    </row>
    <row r="858" spans="1:16">
      <c r="A858" t="s">
        <v>928</v>
      </c>
      <c r="B858" s="2">
        <v>45699</v>
      </c>
      <c r="C858" t="s">
        <v>723</v>
      </c>
      <c r="D858" t="s">
        <v>23</v>
      </c>
      <c r="E858" t="s">
        <v>19</v>
      </c>
      <c r="F858" t="s">
        <v>29</v>
      </c>
      <c r="G858" t="s">
        <v>26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P858">
        <v>44.1</v>
      </c>
    </row>
    <row r="859" spans="1:16">
      <c r="A859" t="s">
        <v>929</v>
      </c>
      <c r="B859" s="2">
        <v>45786</v>
      </c>
      <c r="C859" t="s">
        <v>723</v>
      </c>
      <c r="D859" t="s">
        <v>32</v>
      </c>
      <c r="E859" t="s">
        <v>24</v>
      </c>
      <c r="F859" t="s">
        <v>29</v>
      </c>
      <c r="G859" t="s">
        <v>30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66.7</v>
      </c>
    </row>
    <row r="860" spans="1:16">
      <c r="A860" t="s">
        <v>930</v>
      </c>
      <c r="B860" s="2">
        <v>45690</v>
      </c>
      <c r="C860" t="s">
        <v>723</v>
      </c>
      <c r="D860" t="s">
        <v>32</v>
      </c>
      <c r="E860" t="s">
        <v>24</v>
      </c>
      <c r="G860" t="s">
        <v>26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100</v>
      </c>
    </row>
    <row r="861" spans="1:16">
      <c r="A861" t="s">
        <v>931</v>
      </c>
      <c r="B861" s="2">
        <v>45750</v>
      </c>
      <c r="C861" t="s">
        <v>723</v>
      </c>
      <c r="D861" t="s">
        <v>32</v>
      </c>
      <c r="E861" t="s">
        <v>24</v>
      </c>
      <c r="F861" t="s">
        <v>41</v>
      </c>
      <c r="G861" t="s">
        <v>26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87.5</v>
      </c>
    </row>
    <row r="862" spans="1:16">
      <c r="A862" t="s">
        <v>932</v>
      </c>
      <c r="B862" s="2">
        <v>45703</v>
      </c>
      <c r="C862" t="s">
        <v>723</v>
      </c>
      <c r="D862" t="s">
        <v>18</v>
      </c>
      <c r="E862" t="s">
        <v>19</v>
      </c>
      <c r="F862" t="s">
        <v>25</v>
      </c>
      <c r="G862" t="s">
        <v>21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2</v>
      </c>
      <c r="N862">
        <v>0</v>
      </c>
      <c r="P862">
        <v>65.400000000000006</v>
      </c>
    </row>
    <row r="863" spans="1:16">
      <c r="A863" t="s">
        <v>933</v>
      </c>
      <c r="B863" s="2">
        <v>45765</v>
      </c>
      <c r="C863" t="s">
        <v>723</v>
      </c>
      <c r="D863" t="s">
        <v>32</v>
      </c>
      <c r="E863" t="s">
        <v>19</v>
      </c>
      <c r="F863" t="s">
        <v>25</v>
      </c>
      <c r="G863" t="s">
        <v>26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22.9</v>
      </c>
    </row>
    <row r="864" spans="1:16">
      <c r="A864" t="s">
        <v>934</v>
      </c>
      <c r="B864" s="2">
        <v>45730</v>
      </c>
      <c r="C864" t="s">
        <v>723</v>
      </c>
      <c r="D864" t="s">
        <v>23</v>
      </c>
      <c r="E864" t="s">
        <v>19</v>
      </c>
      <c r="F864" t="s">
        <v>25</v>
      </c>
      <c r="G864" t="s">
        <v>30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64.599999999999994</v>
      </c>
    </row>
    <row r="865" spans="1:16">
      <c r="A865" t="s">
        <v>935</v>
      </c>
      <c r="B865" s="2">
        <v>45745</v>
      </c>
      <c r="C865" t="s">
        <v>723</v>
      </c>
      <c r="D865" t="s">
        <v>32</v>
      </c>
      <c r="E865" t="s">
        <v>24</v>
      </c>
      <c r="F865" t="s">
        <v>39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2</v>
      </c>
      <c r="N865">
        <v>0</v>
      </c>
      <c r="P865">
        <v>54.4</v>
      </c>
    </row>
    <row r="866" spans="1:16">
      <c r="A866" t="s">
        <v>936</v>
      </c>
      <c r="B866" s="2">
        <v>45701</v>
      </c>
      <c r="C866" t="s">
        <v>723</v>
      </c>
      <c r="D866" t="s">
        <v>18</v>
      </c>
      <c r="E866" t="s">
        <v>19</v>
      </c>
      <c r="F866" t="s">
        <v>25</v>
      </c>
      <c r="G866" t="s">
        <v>26</v>
      </c>
      <c r="H866">
        <v>1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P866">
        <v>56.8</v>
      </c>
    </row>
    <row r="867" spans="1:16">
      <c r="A867" t="s">
        <v>938</v>
      </c>
      <c r="B867" s="2">
        <v>45712</v>
      </c>
      <c r="C867" t="s">
        <v>723</v>
      </c>
      <c r="D867" t="s">
        <v>28</v>
      </c>
      <c r="E867" t="s">
        <v>24</v>
      </c>
      <c r="F867" t="s">
        <v>41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58.2</v>
      </c>
    </row>
    <row r="868" spans="1:16">
      <c r="A868" t="s">
        <v>939</v>
      </c>
      <c r="B868" s="2">
        <v>45716</v>
      </c>
      <c r="C868" t="s">
        <v>723</v>
      </c>
      <c r="D868" t="s">
        <v>23</v>
      </c>
      <c r="E868" t="s">
        <v>24</v>
      </c>
      <c r="F868" t="s">
        <v>29</v>
      </c>
      <c r="G868" t="s">
        <v>26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54.6</v>
      </c>
    </row>
    <row r="869" spans="1:16">
      <c r="A869" t="s">
        <v>940</v>
      </c>
      <c r="B869" s="2">
        <v>45664</v>
      </c>
      <c r="C869" t="s">
        <v>723</v>
      </c>
      <c r="D869" t="s">
        <v>23</v>
      </c>
      <c r="E869" t="s">
        <v>34</v>
      </c>
      <c r="F869" t="s">
        <v>25</v>
      </c>
      <c r="G869" t="s">
        <v>21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81.900000000000006</v>
      </c>
    </row>
    <row r="870" spans="1:16">
      <c r="A870" t="s">
        <v>941</v>
      </c>
      <c r="B870" s="2">
        <v>45737</v>
      </c>
      <c r="C870" t="s">
        <v>723</v>
      </c>
      <c r="D870" t="s">
        <v>23</v>
      </c>
      <c r="E870" t="s">
        <v>19</v>
      </c>
      <c r="F870" t="s">
        <v>20</v>
      </c>
      <c r="G870" t="s">
        <v>26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3</v>
      </c>
      <c r="N870">
        <v>0</v>
      </c>
      <c r="P870">
        <v>53.3</v>
      </c>
    </row>
    <row r="871" spans="1:16">
      <c r="A871" t="s">
        <v>942</v>
      </c>
      <c r="B871" s="2">
        <v>45706</v>
      </c>
      <c r="C871" t="s">
        <v>723</v>
      </c>
      <c r="D871" t="s">
        <v>18</v>
      </c>
      <c r="E871" t="s">
        <v>19</v>
      </c>
      <c r="F871" t="s">
        <v>25</v>
      </c>
      <c r="G871" t="s">
        <v>21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54.2</v>
      </c>
    </row>
    <row r="872" spans="1:16">
      <c r="A872" t="s">
        <v>943</v>
      </c>
      <c r="B872" s="2">
        <v>45662</v>
      </c>
      <c r="C872" t="s">
        <v>723</v>
      </c>
      <c r="D872" t="s">
        <v>18</v>
      </c>
      <c r="E872" t="s">
        <v>24</v>
      </c>
      <c r="F872" t="s">
        <v>29</v>
      </c>
      <c r="G872" t="s">
        <v>26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65.599999999999994</v>
      </c>
    </row>
    <row r="873" spans="1:16">
      <c r="A873" t="s">
        <v>944</v>
      </c>
      <c r="B873" s="2">
        <v>45727</v>
      </c>
      <c r="C873" t="s">
        <v>723</v>
      </c>
      <c r="D873" t="s">
        <v>28</v>
      </c>
      <c r="E873" t="s">
        <v>19</v>
      </c>
      <c r="F873" t="s">
        <v>25</v>
      </c>
      <c r="G873" t="s">
        <v>21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945</v>
      </c>
      <c r="B874" s="2">
        <v>45666</v>
      </c>
      <c r="C874" t="s">
        <v>723</v>
      </c>
      <c r="D874" t="s">
        <v>18</v>
      </c>
      <c r="E874" t="s">
        <v>19</v>
      </c>
      <c r="F874" t="s">
        <v>25</v>
      </c>
      <c r="G874" t="s">
        <v>21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59.7</v>
      </c>
    </row>
    <row r="875" spans="1:16">
      <c r="A875" t="s">
        <v>946</v>
      </c>
      <c r="B875" s="2">
        <v>45665</v>
      </c>
      <c r="C875" t="s">
        <v>723</v>
      </c>
      <c r="D875" t="s">
        <v>32</v>
      </c>
      <c r="E875" t="s">
        <v>24</v>
      </c>
      <c r="F875" t="s">
        <v>25</v>
      </c>
      <c r="G875" t="s">
        <v>26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P875">
        <v>72.5</v>
      </c>
    </row>
    <row r="876" spans="1:16">
      <c r="A876" t="s">
        <v>947</v>
      </c>
      <c r="B876" s="2">
        <v>45778</v>
      </c>
      <c r="C876" t="s">
        <v>723</v>
      </c>
      <c r="D876" t="s">
        <v>28</v>
      </c>
      <c r="E876" t="s">
        <v>19</v>
      </c>
      <c r="F876" t="s">
        <v>29</v>
      </c>
      <c r="G876" t="s">
        <v>26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P876">
        <v>64.3</v>
      </c>
    </row>
    <row r="877" spans="1:16">
      <c r="A877" t="s">
        <v>948</v>
      </c>
      <c r="B877" s="2">
        <v>45719</v>
      </c>
      <c r="C877" t="s">
        <v>723</v>
      </c>
      <c r="D877" t="s">
        <v>32</v>
      </c>
      <c r="E877" t="s">
        <v>24</v>
      </c>
      <c r="F877" t="s">
        <v>41</v>
      </c>
      <c r="G877" t="s">
        <v>26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64.5</v>
      </c>
    </row>
    <row r="878" spans="1:16">
      <c r="A878" t="s">
        <v>949</v>
      </c>
      <c r="B878" s="2">
        <v>45711</v>
      </c>
      <c r="C878" t="s">
        <v>723</v>
      </c>
      <c r="D878" t="s">
        <v>23</v>
      </c>
      <c r="E878" t="s">
        <v>19</v>
      </c>
      <c r="F878" t="s">
        <v>41</v>
      </c>
      <c r="G878" t="s">
        <v>21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P878">
        <v>70.599999999999994</v>
      </c>
    </row>
    <row r="879" spans="1:16">
      <c r="A879" t="s">
        <v>950</v>
      </c>
      <c r="B879" s="2">
        <v>45705</v>
      </c>
      <c r="C879" t="s">
        <v>723</v>
      </c>
      <c r="D879" t="s">
        <v>32</v>
      </c>
      <c r="E879" t="s">
        <v>19</v>
      </c>
      <c r="F879" t="s">
        <v>25</v>
      </c>
      <c r="G879" t="s">
        <v>21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58.4</v>
      </c>
    </row>
    <row r="880" spans="1:16">
      <c r="A880" t="s">
        <v>951</v>
      </c>
      <c r="B880" s="2">
        <v>45798</v>
      </c>
      <c r="C880" t="s">
        <v>723</v>
      </c>
      <c r="D880" t="s">
        <v>28</v>
      </c>
      <c r="E880" t="s">
        <v>24</v>
      </c>
      <c r="F880" t="s">
        <v>25</v>
      </c>
      <c r="G880" t="s">
        <v>21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56.6</v>
      </c>
    </row>
    <row r="881" spans="1:16">
      <c r="A881" t="s">
        <v>952</v>
      </c>
      <c r="B881" s="2">
        <v>45687</v>
      </c>
      <c r="C881" t="s">
        <v>723</v>
      </c>
      <c r="D881" t="s">
        <v>32</v>
      </c>
      <c r="E881" t="s">
        <v>24</v>
      </c>
      <c r="F881" t="s">
        <v>25</v>
      </c>
      <c r="G881" t="s">
        <v>26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61.8</v>
      </c>
    </row>
    <row r="882" spans="1:16">
      <c r="A882" t="s">
        <v>954</v>
      </c>
      <c r="B882" s="2">
        <v>45757</v>
      </c>
      <c r="C882" t="s">
        <v>723</v>
      </c>
      <c r="D882" t="s">
        <v>23</v>
      </c>
      <c r="E882" t="s">
        <v>34</v>
      </c>
      <c r="F882" t="s">
        <v>29</v>
      </c>
      <c r="G882" t="s">
        <v>26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43</v>
      </c>
    </row>
    <row r="883" spans="1:16">
      <c r="A883" t="s">
        <v>955</v>
      </c>
      <c r="B883" s="2">
        <v>45723</v>
      </c>
      <c r="C883" t="s">
        <v>723</v>
      </c>
      <c r="D883" t="s">
        <v>18</v>
      </c>
      <c r="E883" t="s">
        <v>19</v>
      </c>
      <c r="F883" t="s">
        <v>25</v>
      </c>
      <c r="G883" t="s">
        <v>26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P883">
        <v>51.1</v>
      </c>
    </row>
    <row r="884" spans="1:16">
      <c r="A884" t="s">
        <v>956</v>
      </c>
      <c r="B884" s="2">
        <v>45728</v>
      </c>
      <c r="C884" t="s">
        <v>723</v>
      </c>
      <c r="D884" t="s">
        <v>23</v>
      </c>
      <c r="E884" t="s">
        <v>24</v>
      </c>
      <c r="F884" t="s">
        <v>20</v>
      </c>
      <c r="G884" t="s">
        <v>21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48.8</v>
      </c>
    </row>
    <row r="885" spans="1:16">
      <c r="A885" t="s">
        <v>957</v>
      </c>
      <c r="B885" s="2">
        <v>45712</v>
      </c>
      <c r="C885" t="s">
        <v>723</v>
      </c>
      <c r="D885" t="s">
        <v>28</v>
      </c>
      <c r="E885" t="s">
        <v>24</v>
      </c>
      <c r="F885" t="s">
        <v>39</v>
      </c>
      <c r="G885" t="s">
        <v>26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P885">
        <v>73.2</v>
      </c>
    </row>
    <row r="886" spans="1:16">
      <c r="A886" t="s">
        <v>958</v>
      </c>
      <c r="B886" s="2">
        <v>45672</v>
      </c>
      <c r="C886" t="s">
        <v>723</v>
      </c>
      <c r="D886" t="s">
        <v>28</v>
      </c>
      <c r="E886" t="s">
        <v>24</v>
      </c>
      <c r="F886" t="s">
        <v>39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80</v>
      </c>
    </row>
    <row r="887" spans="1:16">
      <c r="A887" t="s">
        <v>959</v>
      </c>
      <c r="B887" s="2">
        <v>45664</v>
      </c>
      <c r="C887" t="s">
        <v>723</v>
      </c>
      <c r="D887" t="s">
        <v>18</v>
      </c>
      <c r="E887" t="s">
        <v>19</v>
      </c>
      <c r="F887" t="s">
        <v>29</v>
      </c>
      <c r="G887" t="s">
        <v>26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52.3</v>
      </c>
    </row>
    <row r="888" spans="1:16">
      <c r="A888" t="s">
        <v>960</v>
      </c>
      <c r="B888" s="2">
        <v>45718</v>
      </c>
      <c r="C888" t="s">
        <v>723</v>
      </c>
      <c r="D888" t="s">
        <v>18</v>
      </c>
      <c r="E888" t="s">
        <v>19</v>
      </c>
      <c r="F888" t="s">
        <v>25</v>
      </c>
      <c r="G888" t="s">
        <v>26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49.1</v>
      </c>
    </row>
    <row r="889" spans="1:16">
      <c r="A889" t="s">
        <v>961</v>
      </c>
      <c r="B889" s="2">
        <v>45662</v>
      </c>
      <c r="C889" t="s">
        <v>723</v>
      </c>
      <c r="D889" t="s">
        <v>32</v>
      </c>
      <c r="E889" t="s">
        <v>19</v>
      </c>
      <c r="F889" t="s">
        <v>39</v>
      </c>
      <c r="G889" t="s">
        <v>21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45.3</v>
      </c>
    </row>
    <row r="890" spans="1:16">
      <c r="A890" t="s">
        <v>962</v>
      </c>
      <c r="B890" s="2">
        <v>45719</v>
      </c>
      <c r="C890" t="s">
        <v>723</v>
      </c>
      <c r="D890" t="s">
        <v>32</v>
      </c>
      <c r="E890" t="s">
        <v>24</v>
      </c>
      <c r="F890" t="s">
        <v>25</v>
      </c>
      <c r="G890" t="s">
        <v>26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49.1</v>
      </c>
    </row>
    <row r="891" spans="1:16">
      <c r="A891" t="s">
        <v>964</v>
      </c>
      <c r="B891" s="2">
        <v>45671</v>
      </c>
      <c r="C891" t="s">
        <v>723</v>
      </c>
      <c r="D891" t="s">
        <v>28</v>
      </c>
      <c r="E891" t="s">
        <v>19</v>
      </c>
      <c r="F891" t="s">
        <v>29</v>
      </c>
      <c r="G891" t="s">
        <v>30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P891">
        <v>54.4</v>
      </c>
    </row>
    <row r="892" spans="1:16">
      <c r="A892" t="s">
        <v>965</v>
      </c>
      <c r="B892" s="2">
        <v>45672</v>
      </c>
      <c r="C892" t="s">
        <v>723</v>
      </c>
      <c r="D892" t="s">
        <v>23</v>
      </c>
      <c r="E892" t="s">
        <v>19</v>
      </c>
      <c r="F892" t="s">
        <v>29</v>
      </c>
      <c r="G892" t="s">
        <v>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72.900000000000006</v>
      </c>
    </row>
    <row r="893" spans="1:16">
      <c r="A893" t="s">
        <v>966</v>
      </c>
      <c r="B893" s="2">
        <v>45772</v>
      </c>
      <c r="C893" t="s">
        <v>723</v>
      </c>
      <c r="D893" t="s">
        <v>23</v>
      </c>
      <c r="E893" t="s">
        <v>19</v>
      </c>
      <c r="F893" t="s">
        <v>25</v>
      </c>
      <c r="G893" t="s">
        <v>26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P893">
        <v>53.2</v>
      </c>
    </row>
    <row r="894" spans="1:16">
      <c r="A894" t="s">
        <v>967</v>
      </c>
      <c r="B894" s="2">
        <v>45737</v>
      </c>
      <c r="C894" t="s">
        <v>723</v>
      </c>
      <c r="D894" t="s">
        <v>28</v>
      </c>
      <c r="E894" t="s">
        <v>24</v>
      </c>
      <c r="F894" t="s">
        <v>25</v>
      </c>
      <c r="G894" t="s">
        <v>21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48.7</v>
      </c>
    </row>
    <row r="895" spans="1:16">
      <c r="A895" t="s">
        <v>968</v>
      </c>
      <c r="B895" s="2">
        <v>45773</v>
      </c>
      <c r="C895" t="s">
        <v>723</v>
      </c>
      <c r="D895" t="s">
        <v>32</v>
      </c>
      <c r="E895" t="s">
        <v>24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59.9</v>
      </c>
    </row>
    <row r="896" spans="1:16">
      <c r="A896" t="s">
        <v>969</v>
      </c>
      <c r="B896" s="2">
        <v>45798</v>
      </c>
      <c r="C896" t="s">
        <v>723</v>
      </c>
      <c r="D896" t="s">
        <v>32</v>
      </c>
      <c r="E896" t="s">
        <v>19</v>
      </c>
      <c r="G896" t="s">
        <v>21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82</v>
      </c>
    </row>
    <row r="897" spans="1:16">
      <c r="A897" t="s">
        <v>970</v>
      </c>
      <c r="B897" s="2">
        <v>45765</v>
      </c>
      <c r="C897" t="s">
        <v>723</v>
      </c>
      <c r="D897" t="s">
        <v>28</v>
      </c>
      <c r="E897" t="s">
        <v>24</v>
      </c>
      <c r="F897" t="s">
        <v>29</v>
      </c>
      <c r="G897" t="s">
        <v>26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72.099999999999994</v>
      </c>
    </row>
    <row r="898" spans="1:16">
      <c r="A898" t="s">
        <v>971</v>
      </c>
      <c r="B898" s="2">
        <v>45686</v>
      </c>
      <c r="C898" t="s">
        <v>723</v>
      </c>
      <c r="D898" t="s">
        <v>18</v>
      </c>
      <c r="E898" t="s">
        <v>19</v>
      </c>
      <c r="F898" t="s">
        <v>20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68.3</v>
      </c>
    </row>
    <row r="899" spans="1:16">
      <c r="A899" t="s">
        <v>972</v>
      </c>
      <c r="B899" s="2">
        <v>45805</v>
      </c>
      <c r="C899" t="s">
        <v>723</v>
      </c>
      <c r="D899" t="s">
        <v>23</v>
      </c>
      <c r="E899" t="s">
        <v>24</v>
      </c>
      <c r="F899" t="s">
        <v>25</v>
      </c>
      <c r="G899" t="s">
        <v>30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973</v>
      </c>
      <c r="B900" s="2">
        <v>45672</v>
      </c>
      <c r="C900" t="s">
        <v>723</v>
      </c>
      <c r="D900" t="s">
        <v>28</v>
      </c>
      <c r="E900" t="s">
        <v>24</v>
      </c>
      <c r="F900" t="s">
        <v>20</v>
      </c>
      <c r="G900" t="s">
        <v>26</v>
      </c>
      <c r="H900">
        <v>1</v>
      </c>
      <c r="I900">
        <v>1</v>
      </c>
      <c r="J900">
        <v>1</v>
      </c>
      <c r="K900">
        <v>0</v>
      </c>
      <c r="L900">
        <v>0</v>
      </c>
      <c r="M900">
        <v>2</v>
      </c>
      <c r="N900">
        <v>0</v>
      </c>
      <c r="P900">
        <v>76.5</v>
      </c>
    </row>
    <row r="901" spans="1:16">
      <c r="A901" t="s">
        <v>974</v>
      </c>
      <c r="B901" s="2">
        <v>45660</v>
      </c>
      <c r="C901" t="s">
        <v>723</v>
      </c>
      <c r="D901" t="s">
        <v>32</v>
      </c>
      <c r="E901" t="s">
        <v>24</v>
      </c>
      <c r="F901" t="s">
        <v>25</v>
      </c>
      <c r="G901" t="s">
        <v>21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62</v>
      </c>
    </row>
    <row r="902" spans="1:16">
      <c r="A902" t="s">
        <v>976</v>
      </c>
      <c r="B902" s="2">
        <v>45710</v>
      </c>
      <c r="C902" t="s">
        <v>723</v>
      </c>
      <c r="D902" t="s">
        <v>32</v>
      </c>
      <c r="E902" t="s">
        <v>24</v>
      </c>
      <c r="F902" t="s">
        <v>39</v>
      </c>
      <c r="G902" t="s">
        <v>30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62.1</v>
      </c>
    </row>
    <row r="903" spans="1:16">
      <c r="A903" t="s">
        <v>977</v>
      </c>
      <c r="B903" s="2">
        <v>45783</v>
      </c>
      <c r="C903" t="s">
        <v>723</v>
      </c>
      <c r="D903" t="s">
        <v>23</v>
      </c>
      <c r="E903" t="s">
        <v>24</v>
      </c>
      <c r="F903" t="s">
        <v>25</v>
      </c>
      <c r="G903" t="s">
        <v>21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49.7</v>
      </c>
    </row>
    <row r="904" spans="1:16">
      <c r="A904" t="s">
        <v>978</v>
      </c>
      <c r="B904" s="2">
        <v>45688</v>
      </c>
      <c r="C904" t="s">
        <v>723</v>
      </c>
      <c r="D904" t="s">
        <v>32</v>
      </c>
      <c r="E904" t="s">
        <v>24</v>
      </c>
      <c r="F904" t="s">
        <v>25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3</v>
      </c>
      <c r="N904">
        <v>0</v>
      </c>
      <c r="P904">
        <v>71.099999999999994</v>
      </c>
    </row>
    <row r="905" spans="1:16">
      <c r="A905" t="s">
        <v>979</v>
      </c>
      <c r="B905" s="2">
        <v>45706</v>
      </c>
      <c r="C905" t="s">
        <v>723</v>
      </c>
      <c r="D905" t="s">
        <v>18</v>
      </c>
      <c r="E905" t="s">
        <v>24</v>
      </c>
      <c r="F905" t="s">
        <v>41</v>
      </c>
      <c r="G905" t="s">
        <v>21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70.8</v>
      </c>
    </row>
    <row r="906" spans="1:16">
      <c r="A906" t="s">
        <v>981</v>
      </c>
      <c r="B906" s="2">
        <v>45694</v>
      </c>
      <c r="C906" t="s">
        <v>723</v>
      </c>
      <c r="D906" t="s">
        <v>18</v>
      </c>
      <c r="E906" t="s">
        <v>24</v>
      </c>
      <c r="F906" t="s">
        <v>25</v>
      </c>
      <c r="G906" t="s">
        <v>26</v>
      </c>
      <c r="H906">
        <v>1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P906">
        <v>73</v>
      </c>
    </row>
    <row r="907" spans="1:16">
      <c r="A907" t="s">
        <v>982</v>
      </c>
      <c r="B907" s="2">
        <v>45773</v>
      </c>
      <c r="C907" t="s">
        <v>723</v>
      </c>
      <c r="D907" t="s">
        <v>32</v>
      </c>
      <c r="E907" t="s">
        <v>19</v>
      </c>
      <c r="F907" t="s">
        <v>29</v>
      </c>
      <c r="G907" t="s">
        <v>26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78.2</v>
      </c>
    </row>
    <row r="908" spans="1:16">
      <c r="A908" t="s">
        <v>983</v>
      </c>
      <c r="B908" s="2">
        <v>45746</v>
      </c>
      <c r="C908" t="s">
        <v>723</v>
      </c>
      <c r="D908" t="s">
        <v>23</v>
      </c>
      <c r="E908" t="s">
        <v>19</v>
      </c>
      <c r="F908" t="s">
        <v>29</v>
      </c>
      <c r="G908" t="s">
        <v>21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68.8</v>
      </c>
    </row>
    <row r="909" spans="1:16">
      <c r="A909" t="s">
        <v>984</v>
      </c>
      <c r="B909" s="2">
        <v>45760</v>
      </c>
      <c r="C909" t="s">
        <v>723</v>
      </c>
      <c r="D909" t="s">
        <v>23</v>
      </c>
      <c r="E909" t="s">
        <v>24</v>
      </c>
      <c r="G909" t="s">
        <v>30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57.1</v>
      </c>
    </row>
    <row r="910" spans="1:16">
      <c r="A910" t="s">
        <v>985</v>
      </c>
      <c r="B910" s="2">
        <v>45751</v>
      </c>
      <c r="C910" t="s">
        <v>723</v>
      </c>
      <c r="D910" t="s">
        <v>28</v>
      </c>
      <c r="E910" t="s">
        <v>19</v>
      </c>
      <c r="F910" t="s">
        <v>25</v>
      </c>
      <c r="G910" t="s">
        <v>30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P910">
        <v>74.599999999999994</v>
      </c>
    </row>
    <row r="911" spans="1:16">
      <c r="A911" t="s">
        <v>986</v>
      </c>
      <c r="B911" s="2">
        <v>45750</v>
      </c>
      <c r="C911" t="s">
        <v>723</v>
      </c>
      <c r="D911" t="s">
        <v>18</v>
      </c>
      <c r="E911" t="s">
        <v>19</v>
      </c>
      <c r="F911" t="s">
        <v>39</v>
      </c>
      <c r="G911" t="s">
        <v>26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P911">
        <v>64.099999999999994</v>
      </c>
    </row>
    <row r="912" spans="1:16">
      <c r="A912" t="s">
        <v>987</v>
      </c>
      <c r="B912" s="2">
        <v>45730</v>
      </c>
      <c r="C912" t="s">
        <v>723</v>
      </c>
      <c r="D912" t="s">
        <v>23</v>
      </c>
      <c r="E912" t="s">
        <v>24</v>
      </c>
      <c r="F912" t="s">
        <v>29</v>
      </c>
      <c r="G912" t="s">
        <v>30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67.3</v>
      </c>
    </row>
    <row r="913" spans="1:16">
      <c r="A913" t="s">
        <v>988</v>
      </c>
      <c r="B913" s="2">
        <v>45671</v>
      </c>
      <c r="C913" t="s">
        <v>723</v>
      </c>
      <c r="D913" t="s">
        <v>23</v>
      </c>
      <c r="E913" t="s">
        <v>24</v>
      </c>
      <c r="F913" t="s">
        <v>39</v>
      </c>
      <c r="G913" t="s">
        <v>26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</v>
      </c>
      <c r="N913">
        <v>0</v>
      </c>
      <c r="P913">
        <v>41</v>
      </c>
    </row>
    <row r="914" spans="1:16">
      <c r="A914" t="s">
        <v>989</v>
      </c>
      <c r="B914" s="2">
        <v>45782</v>
      </c>
      <c r="C914" t="s">
        <v>723</v>
      </c>
      <c r="D914" t="s">
        <v>23</v>
      </c>
      <c r="E914" t="s">
        <v>24</v>
      </c>
      <c r="F914" t="s">
        <v>29</v>
      </c>
      <c r="G914" t="s">
        <v>26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48.1</v>
      </c>
    </row>
    <row r="915" spans="1:16">
      <c r="A915" t="s">
        <v>990</v>
      </c>
      <c r="B915" s="2">
        <v>45779</v>
      </c>
      <c r="C915" t="s">
        <v>723</v>
      </c>
      <c r="D915" t="s">
        <v>23</v>
      </c>
      <c r="E915" t="s">
        <v>19</v>
      </c>
      <c r="F915" t="s">
        <v>41</v>
      </c>
      <c r="G915" t="s">
        <v>26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P915">
        <v>60.8</v>
      </c>
    </row>
    <row r="916" spans="1:16">
      <c r="A916" t="s">
        <v>991</v>
      </c>
      <c r="B916" s="2">
        <v>45798</v>
      </c>
      <c r="C916" t="s">
        <v>723</v>
      </c>
      <c r="D916" t="s">
        <v>28</v>
      </c>
      <c r="E916" t="s">
        <v>24</v>
      </c>
      <c r="F916" t="s">
        <v>25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63.1</v>
      </c>
    </row>
    <row r="917" spans="1:16">
      <c r="A917" t="s">
        <v>992</v>
      </c>
      <c r="B917" s="2">
        <v>45793</v>
      </c>
      <c r="C917" t="s">
        <v>723</v>
      </c>
      <c r="D917" t="s">
        <v>18</v>
      </c>
      <c r="E917" t="s">
        <v>24</v>
      </c>
      <c r="F917" t="s">
        <v>39</v>
      </c>
      <c r="G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0</v>
      </c>
      <c r="P917">
        <v>49.7</v>
      </c>
    </row>
    <row r="918" spans="1:16">
      <c r="A918" t="s">
        <v>993</v>
      </c>
      <c r="B918" s="2">
        <v>45801</v>
      </c>
      <c r="C918" t="s">
        <v>723</v>
      </c>
      <c r="D918" t="s">
        <v>28</v>
      </c>
      <c r="E918" t="s">
        <v>19</v>
      </c>
      <c r="F918" t="s">
        <v>25</v>
      </c>
      <c r="G918" t="s">
        <v>30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1</v>
      </c>
      <c r="N918">
        <v>0</v>
      </c>
      <c r="P918">
        <v>83.4</v>
      </c>
    </row>
    <row r="919" spans="1:16">
      <c r="A919" t="s">
        <v>994</v>
      </c>
      <c r="B919" s="2">
        <v>45734</v>
      </c>
      <c r="C919" t="s">
        <v>723</v>
      </c>
      <c r="D919" t="s">
        <v>28</v>
      </c>
      <c r="E919" t="s">
        <v>24</v>
      </c>
      <c r="F919" t="s">
        <v>25</v>
      </c>
      <c r="G919" t="s">
        <v>21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75.900000000000006</v>
      </c>
    </row>
    <row r="920" spans="1:16">
      <c r="A920" t="s">
        <v>995</v>
      </c>
      <c r="B920" s="2">
        <v>45668</v>
      </c>
      <c r="C920" t="s">
        <v>723</v>
      </c>
      <c r="D920" t="s">
        <v>28</v>
      </c>
      <c r="E920" t="s">
        <v>19</v>
      </c>
      <c r="F920" t="s">
        <v>29</v>
      </c>
      <c r="G920" t="s">
        <v>26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P920">
        <v>71.8</v>
      </c>
    </row>
    <row r="921" spans="1:16">
      <c r="A921" t="s">
        <v>996</v>
      </c>
      <c r="B921" s="2">
        <v>45697</v>
      </c>
      <c r="C921" t="s">
        <v>723</v>
      </c>
      <c r="D921" t="s">
        <v>32</v>
      </c>
      <c r="E921" t="s">
        <v>24</v>
      </c>
      <c r="F921" t="s">
        <v>25</v>
      </c>
      <c r="G921" t="s">
        <v>21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37.9</v>
      </c>
    </row>
    <row r="922" spans="1:16">
      <c r="A922" t="s">
        <v>997</v>
      </c>
      <c r="B922" s="2">
        <v>45717</v>
      </c>
      <c r="C922" t="s">
        <v>723</v>
      </c>
      <c r="D922" t="s">
        <v>18</v>
      </c>
      <c r="E922" t="s">
        <v>19</v>
      </c>
      <c r="F922" t="s">
        <v>41</v>
      </c>
      <c r="G922" t="s">
        <v>26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59.8</v>
      </c>
    </row>
    <row r="923" spans="1:16">
      <c r="A923" t="s">
        <v>998</v>
      </c>
      <c r="B923" s="2">
        <v>45784</v>
      </c>
      <c r="C923" t="s">
        <v>723</v>
      </c>
      <c r="D923" t="s">
        <v>18</v>
      </c>
      <c r="E923" t="s">
        <v>24</v>
      </c>
      <c r="F923" t="s">
        <v>25</v>
      </c>
      <c r="G923" t="s">
        <v>21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66.900000000000006</v>
      </c>
    </row>
    <row r="924" spans="1:16">
      <c r="A924" t="s">
        <v>999</v>
      </c>
      <c r="B924" s="2">
        <v>45707</v>
      </c>
      <c r="C924" t="s">
        <v>723</v>
      </c>
      <c r="D924" t="s">
        <v>32</v>
      </c>
      <c r="E924" t="s">
        <v>19</v>
      </c>
      <c r="G924" t="s">
        <v>26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59</v>
      </c>
    </row>
    <row r="925" spans="1:16">
      <c r="A925" t="s">
        <v>1000</v>
      </c>
      <c r="B925" s="2">
        <v>45714</v>
      </c>
      <c r="C925" t="s">
        <v>723</v>
      </c>
      <c r="D925" t="s">
        <v>23</v>
      </c>
      <c r="E925" t="s">
        <v>24</v>
      </c>
      <c r="F925" t="s">
        <v>25</v>
      </c>
      <c r="G925" t="s">
        <v>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80.099999999999994</v>
      </c>
    </row>
    <row r="926" spans="1:16">
      <c r="A926" t="s">
        <v>1001</v>
      </c>
      <c r="B926" s="2">
        <v>45739</v>
      </c>
      <c r="C926" t="s">
        <v>723</v>
      </c>
      <c r="D926" t="s">
        <v>32</v>
      </c>
      <c r="E926" t="s">
        <v>24</v>
      </c>
      <c r="F926" t="s">
        <v>41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64.3</v>
      </c>
    </row>
    <row r="927" spans="1:16">
      <c r="A927" t="s">
        <v>1002</v>
      </c>
      <c r="B927" s="2">
        <v>45772</v>
      </c>
      <c r="C927" t="s">
        <v>723</v>
      </c>
      <c r="D927" t="s">
        <v>32</v>
      </c>
      <c r="E927" t="s">
        <v>19</v>
      </c>
      <c r="F927" t="s">
        <v>41</v>
      </c>
      <c r="G927" t="s">
        <v>26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P927">
        <v>57.4</v>
      </c>
    </row>
    <row r="928" spans="1:16">
      <c r="A928" t="s">
        <v>1003</v>
      </c>
      <c r="B928" s="2">
        <v>45787</v>
      </c>
      <c r="C928" t="s">
        <v>723</v>
      </c>
      <c r="D928" t="s">
        <v>18</v>
      </c>
      <c r="E928" t="s">
        <v>19</v>
      </c>
      <c r="F928" t="s">
        <v>41</v>
      </c>
      <c r="G928" t="s">
        <v>26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P928">
        <v>83.6</v>
      </c>
    </row>
    <row r="929" spans="1:16">
      <c r="A929" t="s">
        <v>1004</v>
      </c>
      <c r="B929" s="2">
        <v>45769</v>
      </c>
      <c r="C929" t="s">
        <v>723</v>
      </c>
      <c r="D929" t="s">
        <v>28</v>
      </c>
      <c r="E929" t="s">
        <v>24</v>
      </c>
      <c r="F929" t="s">
        <v>29</v>
      </c>
      <c r="G929" t="s">
        <v>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45.8</v>
      </c>
    </row>
    <row r="930" spans="1:16">
      <c r="A930" t="s">
        <v>1005</v>
      </c>
      <c r="B930" s="2">
        <v>45706</v>
      </c>
      <c r="C930" t="s">
        <v>723</v>
      </c>
      <c r="D930" t="s">
        <v>23</v>
      </c>
      <c r="E930" t="s">
        <v>24</v>
      </c>
      <c r="F930" t="s">
        <v>39</v>
      </c>
      <c r="G930" t="s">
        <v>21</v>
      </c>
      <c r="H930">
        <v>1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P930">
        <v>64.3</v>
      </c>
    </row>
    <row r="931" spans="1:16">
      <c r="A931" t="s">
        <v>1006</v>
      </c>
      <c r="B931" s="2">
        <v>45683</v>
      </c>
      <c r="C931" t="s">
        <v>723</v>
      </c>
      <c r="D931" t="s">
        <v>32</v>
      </c>
      <c r="E931" t="s">
        <v>24</v>
      </c>
      <c r="F931" t="s">
        <v>29</v>
      </c>
      <c r="G931" t="s">
        <v>30</v>
      </c>
      <c r="H931">
        <v>1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P931">
        <v>80.5</v>
      </c>
    </row>
    <row r="932" spans="1:16">
      <c r="A932" t="s">
        <v>1007</v>
      </c>
      <c r="B932" s="2">
        <v>45775</v>
      </c>
      <c r="C932" t="s">
        <v>723</v>
      </c>
      <c r="D932" t="s">
        <v>18</v>
      </c>
      <c r="E932" t="s">
        <v>24</v>
      </c>
      <c r="F932" t="s">
        <v>25</v>
      </c>
      <c r="G932" t="s">
        <v>26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46.3</v>
      </c>
    </row>
    <row r="933" spans="1:16">
      <c r="A933" t="s">
        <v>1008</v>
      </c>
      <c r="B933" s="2">
        <v>45749</v>
      </c>
      <c r="C933" t="s">
        <v>723</v>
      </c>
      <c r="D933" t="s">
        <v>32</v>
      </c>
      <c r="E933" t="s">
        <v>19</v>
      </c>
      <c r="F933" t="s">
        <v>20</v>
      </c>
      <c r="G933" t="s">
        <v>21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71.599999999999994</v>
      </c>
    </row>
    <row r="934" spans="1:16">
      <c r="A934" t="s">
        <v>1009</v>
      </c>
      <c r="B934" s="2">
        <v>45759</v>
      </c>
      <c r="C934" t="s">
        <v>723</v>
      </c>
      <c r="D934" t="s">
        <v>32</v>
      </c>
      <c r="E934" t="s">
        <v>19</v>
      </c>
      <c r="F934" t="s">
        <v>20</v>
      </c>
      <c r="G934" t="s">
        <v>30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57.8</v>
      </c>
    </row>
    <row r="935" spans="1:16">
      <c r="A935" t="s">
        <v>1010</v>
      </c>
      <c r="B935" s="2">
        <v>45660</v>
      </c>
      <c r="C935" t="s">
        <v>723</v>
      </c>
      <c r="D935" t="s">
        <v>23</v>
      </c>
      <c r="E935" t="s">
        <v>19</v>
      </c>
      <c r="F935" t="s">
        <v>20</v>
      </c>
      <c r="G935" t="s">
        <v>21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1</v>
      </c>
      <c r="N935">
        <v>0</v>
      </c>
      <c r="P935">
        <v>57.8</v>
      </c>
    </row>
    <row r="936" spans="1:16">
      <c r="A936" t="s">
        <v>1011</v>
      </c>
      <c r="B936" s="2">
        <v>45785</v>
      </c>
      <c r="C936" t="s">
        <v>723</v>
      </c>
      <c r="D936" t="s">
        <v>18</v>
      </c>
      <c r="E936" t="s">
        <v>24</v>
      </c>
      <c r="F936" t="s">
        <v>29</v>
      </c>
      <c r="G936" t="s">
        <v>26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38.299999999999997</v>
      </c>
    </row>
    <row r="937" spans="1:16">
      <c r="A937" t="s">
        <v>1012</v>
      </c>
      <c r="B937" s="2">
        <v>45708</v>
      </c>
      <c r="C937" t="s">
        <v>723</v>
      </c>
      <c r="D937" t="s">
        <v>18</v>
      </c>
      <c r="E937" t="s">
        <v>24</v>
      </c>
      <c r="F937" t="s">
        <v>39</v>
      </c>
      <c r="G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P937">
        <v>66.099999999999994</v>
      </c>
    </row>
    <row r="938" spans="1:16">
      <c r="A938" t="s">
        <v>1013</v>
      </c>
      <c r="B938" s="2">
        <v>45733</v>
      </c>
      <c r="C938" t="s">
        <v>723</v>
      </c>
      <c r="D938" t="s">
        <v>18</v>
      </c>
      <c r="E938" t="s">
        <v>19</v>
      </c>
      <c r="F938" t="s">
        <v>29</v>
      </c>
      <c r="G938" t="s">
        <v>30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66.5</v>
      </c>
    </row>
    <row r="939" spans="1:16">
      <c r="A939" t="s">
        <v>1014</v>
      </c>
      <c r="B939" s="2">
        <v>45757</v>
      </c>
      <c r="C939" t="s">
        <v>723</v>
      </c>
      <c r="D939" t="s">
        <v>32</v>
      </c>
      <c r="E939" t="s">
        <v>19</v>
      </c>
      <c r="F939" t="s">
        <v>20</v>
      </c>
      <c r="G939" t="s">
        <v>26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3</v>
      </c>
      <c r="N939">
        <v>0</v>
      </c>
      <c r="P939">
        <v>51.5</v>
      </c>
    </row>
    <row r="940" spans="1:16">
      <c r="A940" t="s">
        <v>1015</v>
      </c>
      <c r="B940" s="2">
        <v>45785</v>
      </c>
      <c r="C940" t="s">
        <v>723</v>
      </c>
      <c r="D940" t="s">
        <v>18</v>
      </c>
      <c r="E940" t="s">
        <v>19</v>
      </c>
      <c r="F940" t="s">
        <v>39</v>
      </c>
      <c r="G940" t="s">
        <v>26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59.9</v>
      </c>
    </row>
    <row r="941" spans="1:16">
      <c r="A941" t="s">
        <v>1016</v>
      </c>
      <c r="B941" s="2">
        <v>45766</v>
      </c>
      <c r="C941" t="s">
        <v>723</v>
      </c>
      <c r="D941" t="s">
        <v>23</v>
      </c>
      <c r="E941" t="s">
        <v>24</v>
      </c>
      <c r="F941" t="s">
        <v>29</v>
      </c>
      <c r="G941" t="s">
        <v>21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58.8</v>
      </c>
    </row>
    <row r="942" spans="1:16">
      <c r="A942" t="s">
        <v>1017</v>
      </c>
      <c r="B942" s="2">
        <v>45658</v>
      </c>
      <c r="C942" t="s">
        <v>723</v>
      </c>
      <c r="D942" t="s">
        <v>32</v>
      </c>
      <c r="E942" t="s">
        <v>34</v>
      </c>
      <c r="F942" t="s">
        <v>29</v>
      </c>
      <c r="G942" t="s">
        <v>21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69.599999999999994</v>
      </c>
    </row>
    <row r="943" spans="1:16">
      <c r="A943" t="s">
        <v>1018</v>
      </c>
      <c r="B943" s="2">
        <v>45726</v>
      </c>
      <c r="C943" t="s">
        <v>723</v>
      </c>
      <c r="D943" t="s">
        <v>28</v>
      </c>
      <c r="E943" t="s">
        <v>24</v>
      </c>
      <c r="F943" t="s">
        <v>29</v>
      </c>
      <c r="G943" t="s">
        <v>26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77.5</v>
      </c>
    </row>
    <row r="944" spans="1:16">
      <c r="A944" t="s">
        <v>1019</v>
      </c>
      <c r="B944" s="2">
        <v>45726</v>
      </c>
      <c r="C944" t="s">
        <v>723</v>
      </c>
      <c r="D944" t="s">
        <v>28</v>
      </c>
      <c r="E944" t="s">
        <v>34</v>
      </c>
      <c r="F944" t="s">
        <v>41</v>
      </c>
      <c r="G944" t="s">
        <v>30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</v>
      </c>
      <c r="N944">
        <v>0</v>
      </c>
      <c r="P944">
        <v>57.5</v>
      </c>
    </row>
    <row r="945" spans="1:16">
      <c r="A945" t="s">
        <v>1020</v>
      </c>
      <c r="B945" s="2">
        <v>45766</v>
      </c>
      <c r="C945" t="s">
        <v>723</v>
      </c>
      <c r="D945" t="s">
        <v>23</v>
      </c>
      <c r="E945" t="s">
        <v>34</v>
      </c>
      <c r="F945" t="s">
        <v>20</v>
      </c>
      <c r="G945" t="s">
        <v>21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64.2</v>
      </c>
    </row>
    <row r="946" spans="1:16">
      <c r="A946" t="s">
        <v>1021</v>
      </c>
      <c r="B946" s="2">
        <v>45758</v>
      </c>
      <c r="C946" t="s">
        <v>723</v>
      </c>
      <c r="D946" t="s">
        <v>23</v>
      </c>
      <c r="E946" t="s">
        <v>19</v>
      </c>
      <c r="F946" t="s">
        <v>25</v>
      </c>
      <c r="G946" t="s">
        <v>26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60</v>
      </c>
    </row>
    <row r="947" spans="1:16">
      <c r="A947" t="s">
        <v>1022</v>
      </c>
      <c r="B947" s="2">
        <v>45757</v>
      </c>
      <c r="C947" t="s">
        <v>723</v>
      </c>
      <c r="D947" t="s">
        <v>28</v>
      </c>
      <c r="E947" t="s">
        <v>24</v>
      </c>
      <c r="F947" t="s">
        <v>25</v>
      </c>
      <c r="G947" t="s">
        <v>21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P947">
        <v>43.7</v>
      </c>
    </row>
    <row r="948" spans="1:16">
      <c r="A948" t="s">
        <v>1023</v>
      </c>
      <c r="B948" s="2">
        <v>45670</v>
      </c>
      <c r="C948" t="s">
        <v>723</v>
      </c>
      <c r="D948" t="s">
        <v>23</v>
      </c>
      <c r="E948" t="s">
        <v>19</v>
      </c>
      <c r="F948" t="s">
        <v>41</v>
      </c>
      <c r="G948" t="s">
        <v>26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64.900000000000006</v>
      </c>
    </row>
    <row r="949" spans="1:16">
      <c r="A949" t="s">
        <v>1024</v>
      </c>
      <c r="B949" s="2">
        <v>45744</v>
      </c>
      <c r="C949" t="s">
        <v>723</v>
      </c>
      <c r="D949" t="s">
        <v>32</v>
      </c>
      <c r="E949" t="s">
        <v>19</v>
      </c>
      <c r="F949" t="s">
        <v>25</v>
      </c>
      <c r="G949" t="s">
        <v>26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45.5</v>
      </c>
    </row>
    <row r="950" spans="1:16">
      <c r="A950" t="s">
        <v>1026</v>
      </c>
      <c r="B950" s="2">
        <v>45743</v>
      </c>
      <c r="C950" t="s">
        <v>723</v>
      </c>
      <c r="D950" t="s">
        <v>32</v>
      </c>
      <c r="E950" t="s">
        <v>24</v>
      </c>
      <c r="F950" t="s">
        <v>39</v>
      </c>
      <c r="G950" t="s">
        <v>26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P950">
        <v>87.8</v>
      </c>
    </row>
    <row r="951" spans="1:16">
      <c r="A951" t="s">
        <v>1027</v>
      </c>
      <c r="B951" s="2">
        <v>45736</v>
      </c>
      <c r="C951" t="s">
        <v>723</v>
      </c>
      <c r="D951" t="s">
        <v>28</v>
      </c>
      <c r="E951" t="s">
        <v>34</v>
      </c>
      <c r="F951" t="s">
        <v>41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86.4</v>
      </c>
    </row>
    <row r="952" spans="1:16">
      <c r="A952" t="s">
        <v>1028</v>
      </c>
      <c r="B952" s="2">
        <v>45666</v>
      </c>
      <c r="C952" t="s">
        <v>723</v>
      </c>
      <c r="D952" t="s">
        <v>18</v>
      </c>
      <c r="E952" t="s">
        <v>24</v>
      </c>
      <c r="F952" t="s">
        <v>29</v>
      </c>
      <c r="G952" t="s">
        <v>21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P952">
        <v>71.400000000000006</v>
      </c>
    </row>
    <row r="953" spans="1:16">
      <c r="A953" t="s">
        <v>1030</v>
      </c>
      <c r="B953" s="2">
        <v>45758</v>
      </c>
      <c r="C953" t="s">
        <v>723</v>
      </c>
      <c r="D953" t="s">
        <v>32</v>
      </c>
      <c r="E953" t="s">
        <v>19</v>
      </c>
      <c r="F953" t="s">
        <v>41</v>
      </c>
      <c r="G953" t="s">
        <v>26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51.9</v>
      </c>
    </row>
    <row r="954" spans="1:16">
      <c r="A954" t="s">
        <v>1031</v>
      </c>
      <c r="B954" s="2">
        <v>45693</v>
      </c>
      <c r="C954" t="s">
        <v>723</v>
      </c>
      <c r="D954" t="s">
        <v>28</v>
      </c>
      <c r="E954" t="s">
        <v>24</v>
      </c>
      <c r="F954" t="s">
        <v>41</v>
      </c>
      <c r="G954" t="s">
        <v>21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P954">
        <v>70.3</v>
      </c>
    </row>
    <row r="955" spans="1:16">
      <c r="A955" t="s">
        <v>1032</v>
      </c>
      <c r="B955" s="2">
        <v>45744</v>
      </c>
      <c r="C955" t="s">
        <v>723</v>
      </c>
      <c r="D955" t="s">
        <v>32</v>
      </c>
      <c r="E955" t="s">
        <v>24</v>
      </c>
      <c r="F955" t="s">
        <v>41</v>
      </c>
      <c r="G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49.2</v>
      </c>
    </row>
    <row r="956" spans="1:16">
      <c r="A956" t="s">
        <v>1033</v>
      </c>
      <c r="B956" s="2">
        <v>45791</v>
      </c>
      <c r="C956" t="s">
        <v>723</v>
      </c>
      <c r="D956" t="s">
        <v>32</v>
      </c>
      <c r="E956" t="s">
        <v>24</v>
      </c>
      <c r="F956" t="s">
        <v>39</v>
      </c>
      <c r="G956" t="s">
        <v>26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52.2</v>
      </c>
    </row>
    <row r="957" spans="1:16">
      <c r="A957" t="s">
        <v>1034</v>
      </c>
      <c r="B957" s="2">
        <v>45726</v>
      </c>
      <c r="C957" t="s">
        <v>723</v>
      </c>
      <c r="D957" t="s">
        <v>28</v>
      </c>
      <c r="E957" t="s">
        <v>24</v>
      </c>
      <c r="F957" t="s">
        <v>29</v>
      </c>
      <c r="G957" t="s">
        <v>21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62.6</v>
      </c>
    </row>
    <row r="958" spans="1:16">
      <c r="A958" t="s">
        <v>1035</v>
      </c>
      <c r="B958" s="2">
        <v>45756</v>
      </c>
      <c r="C958" t="s">
        <v>723</v>
      </c>
      <c r="D958" t="s">
        <v>28</v>
      </c>
      <c r="E958" t="s">
        <v>19</v>
      </c>
      <c r="F958" t="s">
        <v>29</v>
      </c>
      <c r="G958" t="s">
        <v>26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100</v>
      </c>
    </row>
    <row r="959" spans="1:16">
      <c r="A959" t="s">
        <v>1036</v>
      </c>
      <c r="B959" s="2">
        <v>45701</v>
      </c>
      <c r="C959" t="s">
        <v>723</v>
      </c>
      <c r="D959" t="s">
        <v>18</v>
      </c>
      <c r="E959" t="s">
        <v>24</v>
      </c>
      <c r="F959" t="s">
        <v>39</v>
      </c>
      <c r="G959" t="s">
        <v>21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2</v>
      </c>
      <c r="N959">
        <v>0</v>
      </c>
      <c r="P959">
        <v>45.9</v>
      </c>
    </row>
    <row r="960" spans="1:16">
      <c r="A960" t="s">
        <v>1037</v>
      </c>
      <c r="B960" s="2">
        <v>45780</v>
      </c>
      <c r="C960" t="s">
        <v>723</v>
      </c>
      <c r="D960" t="s">
        <v>28</v>
      </c>
      <c r="E960" t="s">
        <v>24</v>
      </c>
      <c r="F960" t="s">
        <v>20</v>
      </c>
      <c r="G960" t="s">
        <v>26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P960">
        <v>80.7</v>
      </c>
    </row>
    <row r="961" spans="1:16">
      <c r="A961" t="s">
        <v>1038</v>
      </c>
      <c r="B961" s="2">
        <v>45763</v>
      </c>
      <c r="C961" t="s">
        <v>723</v>
      </c>
      <c r="D961" t="s">
        <v>32</v>
      </c>
      <c r="E961" t="s">
        <v>19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51.9</v>
      </c>
    </row>
    <row r="962" spans="1:16">
      <c r="A962" t="s">
        <v>1039</v>
      </c>
      <c r="B962" s="2">
        <v>45777</v>
      </c>
      <c r="C962" t="s">
        <v>723</v>
      </c>
      <c r="D962" t="s">
        <v>18</v>
      </c>
      <c r="E962" t="s">
        <v>24</v>
      </c>
      <c r="F962" t="s">
        <v>29</v>
      </c>
      <c r="G962" t="s">
        <v>30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68.900000000000006</v>
      </c>
    </row>
    <row r="963" spans="1:16">
      <c r="A963" t="s">
        <v>1040</v>
      </c>
      <c r="B963" s="2">
        <v>45706</v>
      </c>
      <c r="C963" t="s">
        <v>723</v>
      </c>
      <c r="D963" t="s">
        <v>23</v>
      </c>
      <c r="E963" t="s">
        <v>19</v>
      </c>
      <c r="F963" t="s">
        <v>25</v>
      </c>
      <c r="G963" t="s">
        <v>26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66</v>
      </c>
    </row>
    <row r="964" spans="1:16">
      <c r="A964" t="s">
        <v>1041</v>
      </c>
      <c r="B964" s="2">
        <v>45799</v>
      </c>
      <c r="C964" t="s">
        <v>723</v>
      </c>
      <c r="D964" t="s">
        <v>23</v>
      </c>
      <c r="E964" t="s">
        <v>19</v>
      </c>
      <c r="F964" t="s">
        <v>39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P964">
        <v>63.1</v>
      </c>
    </row>
    <row r="965" spans="1:16">
      <c r="A965" t="s">
        <v>1042</v>
      </c>
      <c r="B965" s="2">
        <v>45798</v>
      </c>
      <c r="C965" t="s">
        <v>723</v>
      </c>
      <c r="D965" t="s">
        <v>32</v>
      </c>
      <c r="E965" t="s">
        <v>19</v>
      </c>
      <c r="F965" t="s">
        <v>25</v>
      </c>
      <c r="G965" t="s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56</v>
      </c>
    </row>
    <row r="966" spans="1:16">
      <c r="A966" t="s">
        <v>1043</v>
      </c>
      <c r="B966" s="2">
        <v>45757</v>
      </c>
      <c r="C966" t="s">
        <v>723</v>
      </c>
      <c r="D966" t="s">
        <v>28</v>
      </c>
      <c r="E966" t="s">
        <v>19</v>
      </c>
      <c r="F966" t="s">
        <v>25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P966">
        <v>65.7</v>
      </c>
    </row>
    <row r="967" spans="1:16">
      <c r="A967" t="s">
        <v>1045</v>
      </c>
      <c r="B967" s="2">
        <v>45691</v>
      </c>
      <c r="C967" t="s">
        <v>723</v>
      </c>
      <c r="D967" t="s">
        <v>32</v>
      </c>
      <c r="E967" t="s">
        <v>19</v>
      </c>
      <c r="F967" t="s">
        <v>41</v>
      </c>
      <c r="G967" t="s">
        <v>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45.5</v>
      </c>
    </row>
    <row r="968" spans="1:16">
      <c r="A968" t="s">
        <v>1046</v>
      </c>
      <c r="B968" s="2">
        <v>45795</v>
      </c>
      <c r="C968" t="s">
        <v>723</v>
      </c>
      <c r="D968" t="s">
        <v>18</v>
      </c>
      <c r="E968" t="s">
        <v>24</v>
      </c>
      <c r="F968" t="s">
        <v>29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50</v>
      </c>
    </row>
    <row r="969" spans="1:16">
      <c r="A969" t="s">
        <v>1047</v>
      </c>
      <c r="B969" s="2">
        <v>45688</v>
      </c>
      <c r="C969" t="s">
        <v>723</v>
      </c>
      <c r="D969" t="s">
        <v>18</v>
      </c>
      <c r="E969" t="s">
        <v>24</v>
      </c>
      <c r="F969" t="s">
        <v>39</v>
      </c>
      <c r="G969" t="s">
        <v>26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72.099999999999994</v>
      </c>
    </row>
    <row r="970" spans="1:16">
      <c r="A970" t="s">
        <v>1048</v>
      </c>
      <c r="B970" s="2">
        <v>45673</v>
      </c>
      <c r="C970" t="s">
        <v>723</v>
      </c>
      <c r="D970" t="s">
        <v>32</v>
      </c>
      <c r="E970" t="s">
        <v>19</v>
      </c>
      <c r="F970" t="s">
        <v>25</v>
      </c>
      <c r="G970" t="s">
        <v>21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76.3</v>
      </c>
    </row>
    <row r="971" spans="1:16">
      <c r="A971" t="s">
        <v>1049</v>
      </c>
      <c r="B971" s="2">
        <v>45791</v>
      </c>
      <c r="C971" t="s">
        <v>723</v>
      </c>
      <c r="D971" t="s">
        <v>28</v>
      </c>
      <c r="E971" t="s">
        <v>24</v>
      </c>
      <c r="F971" t="s">
        <v>29</v>
      </c>
      <c r="G971" t="s">
        <v>21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54.8</v>
      </c>
    </row>
    <row r="972" spans="1:16">
      <c r="A972" t="s">
        <v>1050</v>
      </c>
      <c r="B972" s="2">
        <v>45748</v>
      </c>
      <c r="C972" t="s">
        <v>723</v>
      </c>
      <c r="D972" t="s">
        <v>32</v>
      </c>
      <c r="E972" t="s">
        <v>24</v>
      </c>
      <c r="G972" t="s">
        <v>21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63.6</v>
      </c>
    </row>
    <row r="973" spans="1:16">
      <c r="A973" t="s">
        <v>1051</v>
      </c>
      <c r="B973" s="2">
        <v>45770</v>
      </c>
      <c r="C973" t="s">
        <v>723</v>
      </c>
      <c r="D973" t="s">
        <v>32</v>
      </c>
      <c r="E973" t="s">
        <v>24</v>
      </c>
      <c r="F973" t="s">
        <v>25</v>
      </c>
      <c r="G973" t="s">
        <v>26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68.8</v>
      </c>
    </row>
    <row r="974" spans="1:16">
      <c r="A974" t="s">
        <v>1052</v>
      </c>
      <c r="B974" s="2">
        <v>45718</v>
      </c>
      <c r="C974" t="s">
        <v>723</v>
      </c>
      <c r="D974" t="s">
        <v>32</v>
      </c>
      <c r="E974" t="s">
        <v>19</v>
      </c>
      <c r="F974" t="s">
        <v>29</v>
      </c>
      <c r="G974" t="s">
        <v>21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63.2</v>
      </c>
    </row>
    <row r="975" spans="1:16">
      <c r="A975" t="s">
        <v>1053</v>
      </c>
      <c r="B975" s="2">
        <v>45659</v>
      </c>
      <c r="C975" t="s">
        <v>723</v>
      </c>
      <c r="D975" t="s">
        <v>28</v>
      </c>
      <c r="E975" t="s">
        <v>24</v>
      </c>
      <c r="F975" t="s">
        <v>29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P975">
        <v>45</v>
      </c>
    </row>
    <row r="976" spans="1:16">
      <c r="A976" t="s">
        <v>1054</v>
      </c>
      <c r="B976" s="2">
        <v>45781</v>
      </c>
      <c r="C976" t="s">
        <v>723</v>
      </c>
      <c r="D976" t="s">
        <v>32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77.400000000000006</v>
      </c>
    </row>
    <row r="977" spans="1:16">
      <c r="A977" t="s">
        <v>1055</v>
      </c>
      <c r="B977" s="2">
        <v>45673</v>
      </c>
      <c r="C977" t="s">
        <v>723</v>
      </c>
      <c r="D977" t="s">
        <v>28</v>
      </c>
      <c r="E977" t="s">
        <v>19</v>
      </c>
      <c r="F977" t="s">
        <v>29</v>
      </c>
      <c r="G977" t="s">
        <v>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53.1</v>
      </c>
    </row>
    <row r="978" spans="1:16">
      <c r="A978" t="s">
        <v>1056</v>
      </c>
      <c r="B978" s="2">
        <v>45699</v>
      </c>
      <c r="C978" t="s">
        <v>723</v>
      </c>
      <c r="D978" t="s">
        <v>23</v>
      </c>
      <c r="E978" t="s">
        <v>34</v>
      </c>
      <c r="F978" t="s">
        <v>29</v>
      </c>
      <c r="G978" t="s">
        <v>30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74</v>
      </c>
    </row>
    <row r="979" spans="1:16">
      <c r="A979" t="s">
        <v>1058</v>
      </c>
      <c r="B979" s="2">
        <v>45742</v>
      </c>
      <c r="C979" t="s">
        <v>723</v>
      </c>
      <c r="D979" t="s">
        <v>28</v>
      </c>
      <c r="E979" t="s">
        <v>24</v>
      </c>
      <c r="F979" t="s">
        <v>39</v>
      </c>
      <c r="G979" t="s">
        <v>26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57</v>
      </c>
    </row>
    <row r="980" spans="1:16">
      <c r="A980" t="s">
        <v>1059</v>
      </c>
      <c r="B980" s="2">
        <v>45793</v>
      </c>
      <c r="C980" t="s">
        <v>723</v>
      </c>
      <c r="D980" t="s">
        <v>32</v>
      </c>
      <c r="E980" t="s">
        <v>24</v>
      </c>
      <c r="F980" t="s">
        <v>20</v>
      </c>
      <c r="G980" t="s">
        <v>30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46.3</v>
      </c>
    </row>
    <row r="981" spans="1:16">
      <c r="A981" t="s">
        <v>1060</v>
      </c>
      <c r="B981" s="2">
        <v>45767</v>
      </c>
      <c r="C981" t="s">
        <v>723</v>
      </c>
      <c r="D981" t="s">
        <v>23</v>
      </c>
      <c r="E981" t="s">
        <v>24</v>
      </c>
      <c r="F981" t="s">
        <v>41</v>
      </c>
      <c r="G981" t="s">
        <v>26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64.400000000000006</v>
      </c>
    </row>
    <row r="982" spans="1:16">
      <c r="A982" t="s">
        <v>1061</v>
      </c>
      <c r="B982" s="2">
        <v>45762</v>
      </c>
      <c r="C982" t="s">
        <v>723</v>
      </c>
      <c r="D982" t="s">
        <v>23</v>
      </c>
      <c r="E982" t="s">
        <v>24</v>
      </c>
      <c r="F982" t="s">
        <v>29</v>
      </c>
      <c r="G982" t="s">
        <v>26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0</v>
      </c>
      <c r="P982">
        <v>61.9</v>
      </c>
    </row>
    <row r="983" spans="1:16">
      <c r="A983" t="s">
        <v>1062</v>
      </c>
      <c r="B983" s="2">
        <v>45681</v>
      </c>
      <c r="C983" t="s">
        <v>723</v>
      </c>
      <c r="D983" t="s">
        <v>18</v>
      </c>
      <c r="E983" t="s">
        <v>24</v>
      </c>
      <c r="F983" t="s">
        <v>25</v>
      </c>
      <c r="G983" t="s">
        <v>30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P983">
        <v>93.7</v>
      </c>
    </row>
    <row r="984" spans="1:16">
      <c r="A984" t="s">
        <v>1063</v>
      </c>
      <c r="B984" s="2">
        <v>45758</v>
      </c>
      <c r="C984" t="s">
        <v>723</v>
      </c>
      <c r="D984" t="s">
        <v>32</v>
      </c>
      <c r="E984" t="s">
        <v>24</v>
      </c>
      <c r="F984" t="s">
        <v>39</v>
      </c>
      <c r="G984" t="s">
        <v>21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61.6</v>
      </c>
    </row>
    <row r="985" spans="1:16">
      <c r="A985" t="s">
        <v>1064</v>
      </c>
      <c r="B985" s="2">
        <v>45796</v>
      </c>
      <c r="C985" t="s">
        <v>723</v>
      </c>
      <c r="D985" t="s">
        <v>18</v>
      </c>
      <c r="E985" t="s">
        <v>24</v>
      </c>
      <c r="F985" t="s">
        <v>29</v>
      </c>
      <c r="G985" t="s">
        <v>26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72.2</v>
      </c>
    </row>
    <row r="986" spans="1:16">
      <c r="A986" t="s">
        <v>1065</v>
      </c>
      <c r="B986" s="2">
        <v>45671</v>
      </c>
      <c r="C986" t="s">
        <v>723</v>
      </c>
      <c r="D986" t="s">
        <v>18</v>
      </c>
      <c r="E986" t="s">
        <v>24</v>
      </c>
      <c r="F986" t="s">
        <v>25</v>
      </c>
      <c r="G986" t="s">
        <v>21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</v>
      </c>
    </row>
    <row r="987" spans="1:16">
      <c r="A987" t="s">
        <v>1066</v>
      </c>
      <c r="B987" s="2">
        <v>45716</v>
      </c>
      <c r="C987" t="s">
        <v>723</v>
      </c>
      <c r="D987" t="s">
        <v>28</v>
      </c>
      <c r="E987" t="s">
        <v>19</v>
      </c>
      <c r="F987" t="s">
        <v>25</v>
      </c>
      <c r="G987" t="s">
        <v>21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59.7</v>
      </c>
    </row>
    <row r="988" spans="1:16">
      <c r="A988" t="s">
        <v>1067</v>
      </c>
      <c r="B988" s="2">
        <v>45795</v>
      </c>
      <c r="C988" t="s">
        <v>723</v>
      </c>
      <c r="D988" t="s">
        <v>28</v>
      </c>
      <c r="E988" t="s">
        <v>34</v>
      </c>
      <c r="F988" t="s">
        <v>29</v>
      </c>
      <c r="G988" t="s">
        <v>21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73.900000000000006</v>
      </c>
    </row>
    <row r="989" spans="1:16">
      <c r="A989" t="s">
        <v>1068</v>
      </c>
      <c r="B989" s="2">
        <v>45661</v>
      </c>
      <c r="C989" t="s">
        <v>723</v>
      </c>
      <c r="D989" t="s">
        <v>18</v>
      </c>
      <c r="E989" t="s">
        <v>24</v>
      </c>
      <c r="F989" t="s">
        <v>41</v>
      </c>
      <c r="G989" t="s">
        <v>26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41.5</v>
      </c>
    </row>
    <row r="990" spans="1:16">
      <c r="A990" t="s">
        <v>1069</v>
      </c>
      <c r="B990" s="2">
        <v>45673</v>
      </c>
      <c r="C990" t="s">
        <v>723</v>
      </c>
      <c r="D990" t="s">
        <v>23</v>
      </c>
      <c r="E990" t="s">
        <v>24</v>
      </c>
      <c r="F990" t="s">
        <v>41</v>
      </c>
      <c r="G990" t="s">
        <v>30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82.8</v>
      </c>
    </row>
    <row r="991" spans="1:16">
      <c r="A991" t="s">
        <v>1070</v>
      </c>
      <c r="B991" s="2">
        <v>45730</v>
      </c>
      <c r="C991" t="s">
        <v>723</v>
      </c>
      <c r="D991" t="s">
        <v>23</v>
      </c>
      <c r="E991" t="s">
        <v>24</v>
      </c>
      <c r="F991" t="s">
        <v>41</v>
      </c>
      <c r="G991" t="s">
        <v>30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3</v>
      </c>
      <c r="N991">
        <v>0</v>
      </c>
      <c r="P991">
        <v>70.2</v>
      </c>
    </row>
    <row r="992" spans="1:16">
      <c r="A992" t="s">
        <v>1071</v>
      </c>
      <c r="B992" s="2">
        <v>45680</v>
      </c>
      <c r="C992" t="s">
        <v>723</v>
      </c>
      <c r="D992" t="s">
        <v>28</v>
      </c>
      <c r="E992" t="s">
        <v>24</v>
      </c>
      <c r="F992" t="s">
        <v>29</v>
      </c>
      <c r="G992" t="s">
        <v>21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P992">
        <v>69.400000000000006</v>
      </c>
    </row>
    <row r="993" spans="1:16">
      <c r="A993" t="s">
        <v>1072</v>
      </c>
      <c r="B993" s="2">
        <v>45691</v>
      </c>
      <c r="C993" t="s">
        <v>723</v>
      </c>
      <c r="D993" t="s">
        <v>18</v>
      </c>
      <c r="E993" t="s">
        <v>19</v>
      </c>
      <c r="F993" t="s">
        <v>25</v>
      </c>
      <c r="G993" t="s">
        <v>21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60.4</v>
      </c>
    </row>
    <row r="994" spans="1:16">
      <c r="A994" t="s">
        <v>1073</v>
      </c>
      <c r="B994" s="2">
        <v>45793</v>
      </c>
      <c r="C994" t="s">
        <v>723</v>
      </c>
      <c r="D994" t="s">
        <v>28</v>
      </c>
      <c r="E994" t="s">
        <v>24</v>
      </c>
      <c r="F994" t="s">
        <v>39</v>
      </c>
      <c r="G994" t="s">
        <v>26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P994">
        <v>45.7</v>
      </c>
    </row>
    <row r="995" spans="1:16">
      <c r="A995" t="s">
        <v>1074</v>
      </c>
      <c r="B995" s="2">
        <v>45668</v>
      </c>
      <c r="C995" t="s">
        <v>723</v>
      </c>
      <c r="D995" t="s">
        <v>23</v>
      </c>
      <c r="E995" t="s">
        <v>24</v>
      </c>
      <c r="F995" t="s">
        <v>25</v>
      </c>
      <c r="G995" t="s">
        <v>21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P995">
        <v>42.2</v>
      </c>
    </row>
    <row r="996" spans="1:16">
      <c r="A996" t="s">
        <v>1075</v>
      </c>
      <c r="B996" s="2">
        <v>45802</v>
      </c>
      <c r="C996" t="s">
        <v>723</v>
      </c>
      <c r="D996" t="s">
        <v>18</v>
      </c>
      <c r="E996" t="s">
        <v>19</v>
      </c>
      <c r="F996" t="s">
        <v>25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P996">
        <v>61.9</v>
      </c>
    </row>
    <row r="997" spans="1:16">
      <c r="A997" t="s">
        <v>1076</v>
      </c>
      <c r="B997" s="2">
        <v>45785</v>
      </c>
      <c r="C997" t="s">
        <v>723</v>
      </c>
      <c r="D997" t="s">
        <v>28</v>
      </c>
      <c r="E997" t="s">
        <v>24</v>
      </c>
      <c r="F997" t="s">
        <v>29</v>
      </c>
      <c r="G997" t="s">
        <v>30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P997">
        <v>44.9</v>
      </c>
    </row>
    <row r="998" spans="1:16">
      <c r="A998" t="s">
        <v>1077</v>
      </c>
      <c r="B998" s="2">
        <v>45714</v>
      </c>
      <c r="C998" t="s">
        <v>723</v>
      </c>
      <c r="D998" t="s">
        <v>28</v>
      </c>
      <c r="E998" t="s">
        <v>19</v>
      </c>
      <c r="G998" t="s">
        <v>21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68</v>
      </c>
    </row>
    <row r="999" spans="1:16">
      <c r="A999" t="s">
        <v>1078</v>
      </c>
      <c r="B999" s="2">
        <v>45746</v>
      </c>
      <c r="C999" t="s">
        <v>723</v>
      </c>
      <c r="D999" t="s">
        <v>18</v>
      </c>
      <c r="E999" t="s">
        <v>24</v>
      </c>
      <c r="F999" t="s">
        <v>29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61</v>
      </c>
    </row>
    <row r="1000" spans="1:16">
      <c r="A1000" t="s">
        <v>1079</v>
      </c>
      <c r="B1000" s="2">
        <v>45760</v>
      </c>
      <c r="C1000" t="s">
        <v>723</v>
      </c>
      <c r="D1000" t="s">
        <v>23</v>
      </c>
      <c r="E1000" t="s">
        <v>24</v>
      </c>
      <c r="F1000" t="s">
        <v>25</v>
      </c>
      <c r="G1000" t="s">
        <v>21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P1000">
        <v>55</v>
      </c>
    </row>
    <row r="1001" spans="1:16">
      <c r="A1001" t="s">
        <v>1080</v>
      </c>
      <c r="B1001" s="2">
        <v>45708</v>
      </c>
      <c r="C1001" t="s">
        <v>723</v>
      </c>
      <c r="D1001" t="s">
        <v>28</v>
      </c>
      <c r="F1001" t="s">
        <v>29</v>
      </c>
      <c r="G1001" t="s">
        <v>21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63.1</v>
      </c>
    </row>
    <row r="1002" spans="1:16">
      <c r="A1002" t="s">
        <v>1081</v>
      </c>
      <c r="B1002" s="2">
        <v>45766</v>
      </c>
      <c r="C1002" t="s">
        <v>723</v>
      </c>
      <c r="D1002" t="s">
        <v>23</v>
      </c>
      <c r="E1002" t="s">
        <v>19</v>
      </c>
      <c r="F1002" t="s">
        <v>41</v>
      </c>
      <c r="G1002" t="s">
        <v>26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75.8</v>
      </c>
    </row>
    <row r="1003" spans="1:16">
      <c r="A1003" t="s">
        <v>1082</v>
      </c>
      <c r="B1003" s="2">
        <v>45738</v>
      </c>
      <c r="C1003" t="s">
        <v>723</v>
      </c>
      <c r="D1003" t="s">
        <v>32</v>
      </c>
      <c r="E1003" t="s">
        <v>24</v>
      </c>
      <c r="F1003" t="s">
        <v>29</v>
      </c>
      <c r="G1003" t="s">
        <v>26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43.8</v>
      </c>
    </row>
    <row r="1004" spans="1:16">
      <c r="A1004" t="s">
        <v>1083</v>
      </c>
      <c r="B1004" s="2">
        <v>45716</v>
      </c>
      <c r="C1004" t="s">
        <v>723</v>
      </c>
      <c r="D1004" t="s">
        <v>18</v>
      </c>
      <c r="E1004" t="s">
        <v>24</v>
      </c>
      <c r="F1004" t="s">
        <v>20</v>
      </c>
      <c r="G1004" t="s">
        <v>21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46.8</v>
      </c>
    </row>
    <row r="1005" spans="1:16">
      <c r="A1005" t="s">
        <v>1084</v>
      </c>
      <c r="B1005" s="2">
        <v>45801</v>
      </c>
      <c r="C1005" t="s">
        <v>723</v>
      </c>
      <c r="D1005" t="s">
        <v>28</v>
      </c>
      <c r="E1005" t="s">
        <v>24</v>
      </c>
      <c r="F1005" t="s">
        <v>41</v>
      </c>
      <c r="G1005" t="s">
        <v>26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P1005">
        <v>97.4</v>
      </c>
    </row>
    <row r="1006" spans="1:16">
      <c r="A1006" t="s">
        <v>1086</v>
      </c>
      <c r="B1006" s="2">
        <v>45684</v>
      </c>
      <c r="C1006" t="s">
        <v>723</v>
      </c>
      <c r="D1006" t="s">
        <v>32</v>
      </c>
      <c r="E1006" t="s">
        <v>24</v>
      </c>
      <c r="F1006" t="s">
        <v>25</v>
      </c>
      <c r="G1006" t="s">
        <v>26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P1006">
        <v>58.9</v>
      </c>
    </row>
    <row r="1007" spans="1:16">
      <c r="A1007" t="s">
        <v>1087</v>
      </c>
      <c r="B1007" s="2">
        <v>45764</v>
      </c>
      <c r="C1007" t="s">
        <v>723</v>
      </c>
      <c r="D1007" t="s">
        <v>28</v>
      </c>
      <c r="E1007" t="s">
        <v>24</v>
      </c>
      <c r="F1007" t="s">
        <v>25</v>
      </c>
      <c r="G1007" t="s">
        <v>26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1088</v>
      </c>
      <c r="B1008" s="2">
        <v>45694</v>
      </c>
      <c r="C1008" t="s">
        <v>723</v>
      </c>
      <c r="D1008" t="s">
        <v>23</v>
      </c>
      <c r="E1008" t="s">
        <v>24</v>
      </c>
      <c r="F1008" t="s">
        <v>41</v>
      </c>
      <c r="G1008" t="s">
        <v>26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61.7</v>
      </c>
    </row>
    <row r="1009" spans="1:16">
      <c r="A1009" t="s">
        <v>1089</v>
      </c>
      <c r="B1009" s="2">
        <v>45767</v>
      </c>
      <c r="C1009" t="s">
        <v>723</v>
      </c>
      <c r="D1009" t="s">
        <v>32</v>
      </c>
      <c r="E1009" t="s">
        <v>24</v>
      </c>
      <c r="F1009" t="s">
        <v>29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44.7</v>
      </c>
    </row>
    <row r="1010" spans="1:16">
      <c r="A1010" t="s">
        <v>1090</v>
      </c>
      <c r="B1010" s="2">
        <v>45783</v>
      </c>
      <c r="C1010" t="s">
        <v>723</v>
      </c>
      <c r="D1010" t="s">
        <v>18</v>
      </c>
      <c r="E1010" t="s">
        <v>24</v>
      </c>
      <c r="F1010" t="s">
        <v>29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63.2</v>
      </c>
    </row>
    <row r="1011" spans="1:16">
      <c r="A1011" t="s">
        <v>1091</v>
      </c>
      <c r="B1011" s="2">
        <v>45793</v>
      </c>
      <c r="C1011" t="s">
        <v>723</v>
      </c>
      <c r="D1011" t="s">
        <v>32</v>
      </c>
      <c r="E1011" t="s">
        <v>24</v>
      </c>
      <c r="F1011" t="s">
        <v>25</v>
      </c>
      <c r="G1011" t="s">
        <v>26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70.3</v>
      </c>
    </row>
    <row r="1012" spans="1:16">
      <c r="A1012" t="s">
        <v>1092</v>
      </c>
      <c r="B1012" s="2">
        <v>45718</v>
      </c>
      <c r="C1012" t="s">
        <v>723</v>
      </c>
      <c r="D1012" t="s">
        <v>32</v>
      </c>
      <c r="E1012" t="s">
        <v>24</v>
      </c>
      <c r="F1012" t="s">
        <v>29</v>
      </c>
      <c r="G1012" t="s">
        <v>30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83.1</v>
      </c>
    </row>
    <row r="1013" spans="1:16">
      <c r="A1013" t="s">
        <v>1093</v>
      </c>
      <c r="B1013" s="2">
        <v>45756</v>
      </c>
      <c r="C1013" t="s">
        <v>723</v>
      </c>
      <c r="D1013" t="s">
        <v>23</v>
      </c>
      <c r="E1013" t="s">
        <v>24</v>
      </c>
      <c r="F1013" t="s">
        <v>41</v>
      </c>
      <c r="G1013" t="s">
        <v>26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50.3</v>
      </c>
    </row>
    <row r="1014" spans="1:16">
      <c r="A1014" t="s">
        <v>1095</v>
      </c>
      <c r="B1014" s="2">
        <v>45713</v>
      </c>
      <c r="C1014" t="s">
        <v>723</v>
      </c>
      <c r="D1014" t="s">
        <v>32</v>
      </c>
      <c r="E1014" t="s">
        <v>24</v>
      </c>
      <c r="F1014" t="s">
        <v>29</v>
      </c>
      <c r="G1014" t="s">
        <v>21</v>
      </c>
      <c r="H1014">
        <v>1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P1014">
        <v>53.2</v>
      </c>
    </row>
    <row r="1015" spans="1:16">
      <c r="A1015" t="s">
        <v>1096</v>
      </c>
      <c r="B1015" s="2">
        <v>45664</v>
      </c>
      <c r="C1015" t="s">
        <v>723</v>
      </c>
      <c r="D1015" t="s">
        <v>28</v>
      </c>
      <c r="E1015" t="s">
        <v>24</v>
      </c>
      <c r="F1015" t="s">
        <v>25</v>
      </c>
      <c r="G1015" t="s">
        <v>30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36.4</v>
      </c>
    </row>
    <row r="1016" spans="1:16">
      <c r="A1016" t="s">
        <v>1097</v>
      </c>
      <c r="B1016" s="2">
        <v>45724</v>
      </c>
      <c r="C1016" t="s">
        <v>723</v>
      </c>
      <c r="D1016" t="s">
        <v>32</v>
      </c>
      <c r="E1016" t="s">
        <v>24</v>
      </c>
      <c r="F1016" t="s">
        <v>41</v>
      </c>
      <c r="G1016" t="s">
        <v>21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P1016">
        <v>72.7</v>
      </c>
    </row>
    <row r="1017" spans="1:16">
      <c r="A1017" t="s">
        <v>1098</v>
      </c>
      <c r="B1017" s="2">
        <v>45799</v>
      </c>
      <c r="C1017" t="s">
        <v>723</v>
      </c>
      <c r="D1017" t="s">
        <v>28</v>
      </c>
      <c r="E1017" t="s">
        <v>24</v>
      </c>
      <c r="F1017" t="s">
        <v>39</v>
      </c>
      <c r="G1017" t="s">
        <v>26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P1017">
        <v>86.7</v>
      </c>
    </row>
    <row r="1018" spans="1:16">
      <c r="A1018" t="s">
        <v>1099</v>
      </c>
      <c r="B1018" s="2">
        <v>45765</v>
      </c>
      <c r="C1018" t="s">
        <v>723</v>
      </c>
      <c r="D1018" t="s">
        <v>28</v>
      </c>
      <c r="E1018" t="s">
        <v>24</v>
      </c>
      <c r="F1018" t="s">
        <v>29</v>
      </c>
      <c r="G1018" t="s">
        <v>30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48.2</v>
      </c>
    </row>
    <row r="1019" spans="1:16">
      <c r="A1019" t="s">
        <v>1100</v>
      </c>
      <c r="B1019" s="2">
        <v>45712</v>
      </c>
      <c r="C1019" t="s">
        <v>723</v>
      </c>
      <c r="D1019" t="s">
        <v>23</v>
      </c>
      <c r="E1019" t="s">
        <v>24</v>
      </c>
      <c r="F1019" t="s">
        <v>39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P1019">
        <v>57.6</v>
      </c>
    </row>
    <row r="1020" spans="1:16">
      <c r="A1020" t="s">
        <v>1101</v>
      </c>
      <c r="B1020" s="2">
        <v>45699</v>
      </c>
      <c r="C1020" t="s">
        <v>723</v>
      </c>
      <c r="D1020" t="s">
        <v>18</v>
      </c>
      <c r="E1020" t="s">
        <v>24</v>
      </c>
      <c r="F1020" t="s">
        <v>25</v>
      </c>
      <c r="G1020" t="s">
        <v>26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P1020">
        <v>75.7</v>
      </c>
    </row>
    <row r="1021" spans="1:16">
      <c r="A1021" t="s">
        <v>1102</v>
      </c>
      <c r="B1021" s="2">
        <v>45727</v>
      </c>
      <c r="C1021" t="s">
        <v>723</v>
      </c>
      <c r="D1021" t="s">
        <v>23</v>
      </c>
      <c r="E1021" t="s">
        <v>19</v>
      </c>
      <c r="F1021" t="s">
        <v>29</v>
      </c>
      <c r="G1021" t="s">
        <v>26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2</v>
      </c>
      <c r="N1021">
        <v>0</v>
      </c>
      <c r="P1021">
        <v>48.6</v>
      </c>
    </row>
    <row r="1022" spans="1:16">
      <c r="A1022" t="s">
        <v>1103</v>
      </c>
      <c r="B1022" s="2">
        <v>45758</v>
      </c>
      <c r="C1022" t="s">
        <v>723</v>
      </c>
      <c r="D1022" t="s">
        <v>28</v>
      </c>
      <c r="E1022" t="s">
        <v>34</v>
      </c>
      <c r="F1022" t="s">
        <v>39</v>
      </c>
      <c r="G1022" t="s">
        <v>26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P1022">
        <v>72</v>
      </c>
    </row>
    <row r="1023" spans="1:16">
      <c r="A1023" t="s">
        <v>1104</v>
      </c>
      <c r="B1023" s="2">
        <v>45727</v>
      </c>
      <c r="C1023" t="s">
        <v>723</v>
      </c>
      <c r="D1023" t="s">
        <v>18</v>
      </c>
      <c r="E1023" t="s">
        <v>24</v>
      </c>
      <c r="F1023" t="s">
        <v>25</v>
      </c>
      <c r="G1023" t="s">
        <v>26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72.2</v>
      </c>
    </row>
    <row r="1024" spans="1:16">
      <c r="A1024" t="s">
        <v>1105</v>
      </c>
      <c r="B1024" s="2">
        <v>45799</v>
      </c>
      <c r="C1024" t="s">
        <v>723</v>
      </c>
      <c r="D1024" t="s">
        <v>28</v>
      </c>
      <c r="E1024" t="s">
        <v>24</v>
      </c>
      <c r="F1024" t="s">
        <v>39</v>
      </c>
      <c r="G1024" t="s">
        <v>26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</row>
    <row r="1025" spans="1:16">
      <c r="A1025" t="s">
        <v>1107</v>
      </c>
      <c r="B1025" s="2">
        <v>45670</v>
      </c>
      <c r="C1025" t="s">
        <v>723</v>
      </c>
      <c r="D1025" t="s">
        <v>28</v>
      </c>
      <c r="E1025" t="s">
        <v>24</v>
      </c>
      <c r="F1025" t="s">
        <v>29</v>
      </c>
      <c r="G1025" t="s">
        <v>21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62.5</v>
      </c>
    </row>
    <row r="1026" spans="1:16">
      <c r="A1026" t="s">
        <v>1108</v>
      </c>
      <c r="B1026" s="2">
        <v>45796</v>
      </c>
      <c r="C1026" t="s">
        <v>723</v>
      </c>
      <c r="D1026" t="s">
        <v>32</v>
      </c>
      <c r="E1026" t="s">
        <v>24</v>
      </c>
      <c r="F1026" t="s">
        <v>25</v>
      </c>
      <c r="G1026" t="s">
        <v>26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63.4</v>
      </c>
    </row>
    <row r="1027" spans="1:16">
      <c r="A1027" t="s">
        <v>1111</v>
      </c>
      <c r="B1027" s="2">
        <v>45785</v>
      </c>
      <c r="C1027" t="s">
        <v>723</v>
      </c>
      <c r="D1027" t="s">
        <v>23</v>
      </c>
      <c r="E1027" t="s">
        <v>24</v>
      </c>
      <c r="F1027" t="s">
        <v>20</v>
      </c>
      <c r="G1027" t="s">
        <v>21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P1027">
        <v>75.099999999999994</v>
      </c>
    </row>
    <row r="1028" spans="1:16">
      <c r="A1028" t="s">
        <v>1112</v>
      </c>
      <c r="B1028" s="2">
        <v>45787</v>
      </c>
      <c r="C1028" t="s">
        <v>723</v>
      </c>
      <c r="D1028" t="s">
        <v>32</v>
      </c>
      <c r="E1028" t="s">
        <v>24</v>
      </c>
      <c r="F1028" t="s">
        <v>25</v>
      </c>
      <c r="G1028" t="s">
        <v>21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64.5</v>
      </c>
    </row>
    <row r="1029" spans="1:16">
      <c r="A1029" t="s">
        <v>1113</v>
      </c>
      <c r="B1029" s="2">
        <v>45744</v>
      </c>
      <c r="C1029" t="s">
        <v>723</v>
      </c>
      <c r="D1029" t="s">
        <v>28</v>
      </c>
      <c r="E1029" t="s">
        <v>24</v>
      </c>
      <c r="F1029" t="s">
        <v>25</v>
      </c>
      <c r="G1029" t="s">
        <v>26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P1029">
        <v>54.2</v>
      </c>
    </row>
    <row r="1030" spans="1:16">
      <c r="A1030" t="s">
        <v>1114</v>
      </c>
      <c r="B1030" s="2">
        <v>45777</v>
      </c>
      <c r="C1030" t="s">
        <v>723</v>
      </c>
      <c r="D1030" t="s">
        <v>28</v>
      </c>
      <c r="E1030" t="s">
        <v>24</v>
      </c>
      <c r="F1030" t="s">
        <v>29</v>
      </c>
      <c r="G1030" t="s">
        <v>30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P1030">
        <v>84.1</v>
      </c>
    </row>
    <row r="1031" spans="1:16">
      <c r="A1031" t="s">
        <v>1115</v>
      </c>
      <c r="B1031" s="2">
        <v>45696</v>
      </c>
      <c r="C1031" t="s">
        <v>723</v>
      </c>
      <c r="D1031" t="s">
        <v>18</v>
      </c>
      <c r="E1031" t="s">
        <v>24</v>
      </c>
      <c r="F1031" t="s">
        <v>25</v>
      </c>
      <c r="G1031" t="s">
        <v>21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P1031">
        <v>49.1</v>
      </c>
    </row>
    <row r="1032" spans="1:16">
      <c r="A1032" t="s">
        <v>1116</v>
      </c>
      <c r="B1032" s="2">
        <v>45723</v>
      </c>
      <c r="C1032" t="s">
        <v>723</v>
      </c>
      <c r="D1032" t="s">
        <v>32</v>
      </c>
      <c r="E1032" t="s">
        <v>24</v>
      </c>
      <c r="F1032" t="s">
        <v>39</v>
      </c>
      <c r="G1032" t="s">
        <v>30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92.7</v>
      </c>
    </row>
    <row r="1033" spans="1:16">
      <c r="A1033" t="s">
        <v>1117</v>
      </c>
      <c r="B1033" s="2">
        <v>45798</v>
      </c>
      <c r="C1033" t="s">
        <v>723</v>
      </c>
      <c r="D1033" t="s">
        <v>32</v>
      </c>
      <c r="E1033" t="s">
        <v>24</v>
      </c>
      <c r="F1033" t="s">
        <v>41</v>
      </c>
      <c r="G1033" t="s">
        <v>21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1</v>
      </c>
      <c r="N1033">
        <v>0</v>
      </c>
      <c r="P1033">
        <v>58.7</v>
      </c>
    </row>
    <row r="1034" spans="1:16">
      <c r="A1034" t="s">
        <v>1118</v>
      </c>
      <c r="B1034" s="2">
        <v>45759</v>
      </c>
      <c r="C1034" t="s">
        <v>723</v>
      </c>
      <c r="D1034" t="s">
        <v>32</v>
      </c>
      <c r="E1034" t="s">
        <v>24</v>
      </c>
      <c r="F1034" t="s">
        <v>41</v>
      </c>
      <c r="G1034" t="s">
        <v>26</v>
      </c>
      <c r="H1034">
        <v>1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P1034">
        <v>59.3</v>
      </c>
    </row>
    <row r="1035" spans="1:16">
      <c r="A1035" t="s">
        <v>1119</v>
      </c>
      <c r="B1035" s="2">
        <v>45690</v>
      </c>
      <c r="C1035" t="s">
        <v>723</v>
      </c>
      <c r="D1035" t="s">
        <v>32</v>
      </c>
      <c r="E1035" t="s">
        <v>24</v>
      </c>
      <c r="F1035" t="s">
        <v>29</v>
      </c>
      <c r="G1035" t="s">
        <v>26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62</v>
      </c>
    </row>
    <row r="1036" spans="1:16">
      <c r="A1036" t="s">
        <v>1120</v>
      </c>
      <c r="B1036" s="2">
        <v>45769</v>
      </c>
      <c r="C1036" t="s">
        <v>723</v>
      </c>
      <c r="D1036" t="s">
        <v>18</v>
      </c>
      <c r="E1036" t="s">
        <v>34</v>
      </c>
      <c r="F1036" t="s">
        <v>39</v>
      </c>
      <c r="G1036" t="s">
        <v>26</v>
      </c>
      <c r="H1036">
        <v>1</v>
      </c>
      <c r="I1036">
        <v>1</v>
      </c>
      <c r="J1036">
        <v>1</v>
      </c>
      <c r="K1036">
        <v>0</v>
      </c>
      <c r="L1036">
        <v>0</v>
      </c>
      <c r="M1036">
        <v>1</v>
      </c>
      <c r="N1036">
        <v>0</v>
      </c>
      <c r="P1036">
        <v>60.3</v>
      </c>
    </row>
    <row r="1037" spans="1:16">
      <c r="A1037" t="s">
        <v>1121</v>
      </c>
      <c r="B1037" s="2">
        <v>45696</v>
      </c>
      <c r="C1037" t="s">
        <v>723</v>
      </c>
      <c r="D1037" t="s">
        <v>18</v>
      </c>
      <c r="E1037" t="s">
        <v>24</v>
      </c>
      <c r="F1037" t="s">
        <v>41</v>
      </c>
      <c r="G1037" t="s">
        <v>21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70.5</v>
      </c>
    </row>
    <row r="1038" spans="1:16">
      <c r="A1038" t="s">
        <v>1122</v>
      </c>
      <c r="B1038" s="2">
        <v>45681</v>
      </c>
      <c r="C1038" t="s">
        <v>723</v>
      </c>
      <c r="D1038" t="s">
        <v>32</v>
      </c>
      <c r="E1038" t="s">
        <v>19</v>
      </c>
      <c r="F1038" t="s">
        <v>20</v>
      </c>
      <c r="G1038" t="s">
        <v>26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36.799999999999997</v>
      </c>
    </row>
    <row r="1039" spans="1:16">
      <c r="A1039" t="s">
        <v>1123</v>
      </c>
      <c r="B1039" s="2">
        <v>45789</v>
      </c>
      <c r="C1039" t="s">
        <v>723</v>
      </c>
      <c r="D1039" t="s">
        <v>32</v>
      </c>
      <c r="E1039" t="s">
        <v>24</v>
      </c>
      <c r="F1039" t="s">
        <v>29</v>
      </c>
      <c r="G1039" t="s">
        <v>21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P1039">
        <v>73.2</v>
      </c>
    </row>
    <row r="1040" spans="1:16">
      <c r="A1040" t="s">
        <v>1124</v>
      </c>
      <c r="B1040" s="2">
        <v>45746</v>
      </c>
      <c r="C1040" t="s">
        <v>723</v>
      </c>
      <c r="D1040" t="s">
        <v>18</v>
      </c>
      <c r="E1040" t="s">
        <v>24</v>
      </c>
      <c r="F1040" t="s">
        <v>25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P1040">
        <v>70.099999999999994</v>
      </c>
    </row>
    <row r="1041" spans="1:16">
      <c r="A1041" t="s">
        <v>1125</v>
      </c>
      <c r="B1041" s="2">
        <v>45659</v>
      </c>
      <c r="C1041" t="s">
        <v>723</v>
      </c>
      <c r="D1041" t="s">
        <v>32</v>
      </c>
      <c r="E1041" t="s">
        <v>19</v>
      </c>
      <c r="F1041" t="s">
        <v>29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76.400000000000006</v>
      </c>
    </row>
    <row r="1042" spans="1:16">
      <c r="A1042" t="s">
        <v>1126</v>
      </c>
      <c r="B1042" s="2">
        <v>45737</v>
      </c>
      <c r="C1042" t="s">
        <v>723</v>
      </c>
      <c r="D1042" t="s">
        <v>32</v>
      </c>
      <c r="E1042" t="s">
        <v>34</v>
      </c>
      <c r="F1042" t="s">
        <v>20</v>
      </c>
      <c r="G1042" t="s">
        <v>21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46.4</v>
      </c>
    </row>
    <row r="1043" spans="1:16">
      <c r="A1043" t="s">
        <v>1127</v>
      </c>
      <c r="B1043" s="2">
        <v>45682</v>
      </c>
      <c r="C1043" t="s">
        <v>723</v>
      </c>
      <c r="D1043" t="s">
        <v>23</v>
      </c>
      <c r="E1043" t="s">
        <v>24</v>
      </c>
      <c r="F1043" t="s">
        <v>25</v>
      </c>
      <c r="G1043" t="s">
        <v>26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1</v>
      </c>
      <c r="N1043">
        <v>0</v>
      </c>
      <c r="P1043">
        <v>81.3</v>
      </c>
    </row>
    <row r="1044" spans="1:16">
      <c r="A1044" t="s">
        <v>1128</v>
      </c>
      <c r="B1044" s="2">
        <v>45669</v>
      </c>
      <c r="C1044" t="s">
        <v>723</v>
      </c>
      <c r="D1044" t="s">
        <v>32</v>
      </c>
      <c r="E1044" t="s">
        <v>34</v>
      </c>
      <c r="F1044" t="s">
        <v>41</v>
      </c>
      <c r="G1044" t="s">
        <v>26</v>
      </c>
      <c r="H1044">
        <v>1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P1044">
        <v>55.3</v>
      </c>
    </row>
    <row r="1045" spans="1:16">
      <c r="A1045" t="s">
        <v>1129</v>
      </c>
      <c r="B1045" s="2">
        <v>45734</v>
      </c>
      <c r="C1045" t="s">
        <v>723</v>
      </c>
      <c r="D1045" t="s">
        <v>28</v>
      </c>
      <c r="E1045" t="s">
        <v>19</v>
      </c>
      <c r="F1045" t="s">
        <v>39</v>
      </c>
      <c r="G1045" t="s">
        <v>26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44.7</v>
      </c>
    </row>
    <row r="1046" spans="1:16">
      <c r="A1046" t="s">
        <v>1130</v>
      </c>
      <c r="B1046" s="2">
        <v>45742</v>
      </c>
      <c r="C1046" t="s">
        <v>723</v>
      </c>
      <c r="D1046" t="s">
        <v>28</v>
      </c>
      <c r="E1046" t="s">
        <v>24</v>
      </c>
      <c r="F1046" t="s">
        <v>29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67.2</v>
      </c>
    </row>
    <row r="1047" spans="1:16">
      <c r="A1047" t="s">
        <v>1131</v>
      </c>
      <c r="B1047" s="2">
        <v>45766</v>
      </c>
      <c r="C1047" t="s">
        <v>723</v>
      </c>
      <c r="D1047" t="s">
        <v>18</v>
      </c>
      <c r="E1047" t="s">
        <v>24</v>
      </c>
      <c r="F1047" t="s">
        <v>29</v>
      </c>
      <c r="G1047" t="s">
        <v>21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6">
      <c r="A1048" t="s">
        <v>1132</v>
      </c>
      <c r="B1048" s="2">
        <v>45764</v>
      </c>
      <c r="C1048" t="s">
        <v>723</v>
      </c>
      <c r="D1048" t="s">
        <v>28</v>
      </c>
      <c r="E1048" t="s">
        <v>24</v>
      </c>
      <c r="F1048" t="s">
        <v>25</v>
      </c>
      <c r="G1048" t="s">
        <v>30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1</v>
      </c>
      <c r="N1048">
        <v>0</v>
      </c>
      <c r="P1048">
        <v>70.8</v>
      </c>
    </row>
    <row r="1049" spans="1:16">
      <c r="A1049" t="s">
        <v>1133</v>
      </c>
      <c r="B1049" s="2">
        <v>45803</v>
      </c>
      <c r="C1049" t="s">
        <v>723</v>
      </c>
      <c r="D1049" t="s">
        <v>32</v>
      </c>
      <c r="E1049" t="s">
        <v>24</v>
      </c>
      <c r="F1049" t="s">
        <v>29</v>
      </c>
      <c r="G1049" t="s">
        <v>26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71.3</v>
      </c>
    </row>
    <row r="1050" spans="1:16">
      <c r="A1050" t="s">
        <v>1134</v>
      </c>
      <c r="B1050" s="2">
        <v>45761</v>
      </c>
      <c r="C1050" t="s">
        <v>723</v>
      </c>
      <c r="D1050" t="s">
        <v>18</v>
      </c>
      <c r="E1050" t="s">
        <v>24</v>
      </c>
      <c r="F1050" t="s">
        <v>41</v>
      </c>
      <c r="G1050" t="s">
        <v>30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P1050">
        <v>69.400000000000006</v>
      </c>
    </row>
    <row r="1051" spans="1:16">
      <c r="A1051" t="s">
        <v>1135</v>
      </c>
      <c r="B1051" s="2">
        <v>45680</v>
      </c>
      <c r="C1051" t="s">
        <v>723</v>
      </c>
      <c r="D1051" t="s">
        <v>32</v>
      </c>
      <c r="E1051" t="s">
        <v>24</v>
      </c>
      <c r="F1051" t="s">
        <v>25</v>
      </c>
      <c r="G1051" t="s">
        <v>21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58.9</v>
      </c>
    </row>
    <row r="1052" spans="1:16">
      <c r="A1052" t="s">
        <v>1136</v>
      </c>
      <c r="B1052" s="2">
        <v>45663</v>
      </c>
      <c r="C1052" t="s">
        <v>723</v>
      </c>
      <c r="D1052" t="s">
        <v>28</v>
      </c>
      <c r="E1052" t="s">
        <v>24</v>
      </c>
      <c r="F1052" t="s">
        <v>39</v>
      </c>
      <c r="G1052" t="s">
        <v>26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70.7</v>
      </c>
    </row>
    <row r="1053" spans="1:16">
      <c r="A1053" t="s">
        <v>1137</v>
      </c>
      <c r="B1053" s="2">
        <v>45808</v>
      </c>
      <c r="C1053" t="s">
        <v>723</v>
      </c>
      <c r="D1053" t="s">
        <v>23</v>
      </c>
      <c r="E1053" t="s">
        <v>24</v>
      </c>
      <c r="F1053" t="s">
        <v>20</v>
      </c>
      <c r="G1053" t="s">
        <v>21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60.5</v>
      </c>
    </row>
    <row r="1054" spans="1:16">
      <c r="A1054" t="s">
        <v>1138</v>
      </c>
      <c r="B1054" s="2">
        <v>45796</v>
      </c>
      <c r="C1054" t="s">
        <v>723</v>
      </c>
      <c r="D1054" t="s">
        <v>18</v>
      </c>
      <c r="E1054" t="s">
        <v>24</v>
      </c>
      <c r="F1054" t="s">
        <v>25</v>
      </c>
      <c r="G1054" t="s">
        <v>21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P1054">
        <v>77.3</v>
      </c>
    </row>
    <row r="1055" spans="1:16">
      <c r="A1055" t="s">
        <v>1139</v>
      </c>
      <c r="B1055" s="2">
        <v>45713</v>
      </c>
      <c r="C1055" t="s">
        <v>723</v>
      </c>
      <c r="D1055" t="s">
        <v>18</v>
      </c>
      <c r="E1055" t="s">
        <v>24</v>
      </c>
      <c r="F1055" t="s">
        <v>25</v>
      </c>
      <c r="G1055" t="s">
        <v>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39.5</v>
      </c>
    </row>
    <row r="1056" spans="1:16">
      <c r="A1056" t="s">
        <v>1140</v>
      </c>
      <c r="B1056" s="2">
        <v>45667</v>
      </c>
      <c r="C1056" t="s">
        <v>723</v>
      </c>
      <c r="D1056" t="s">
        <v>32</v>
      </c>
      <c r="E1056" t="s">
        <v>34</v>
      </c>
      <c r="F1056" t="s">
        <v>25</v>
      </c>
      <c r="G1056" t="s">
        <v>21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68.099999999999994</v>
      </c>
    </row>
    <row r="1057" spans="1:16">
      <c r="A1057" t="s">
        <v>1141</v>
      </c>
      <c r="B1057" s="2">
        <v>45790</v>
      </c>
      <c r="C1057" t="s">
        <v>723</v>
      </c>
      <c r="D1057" t="s">
        <v>18</v>
      </c>
      <c r="E1057" t="s">
        <v>34</v>
      </c>
      <c r="F1057" t="s">
        <v>29</v>
      </c>
      <c r="G1057" t="s">
        <v>26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80.3</v>
      </c>
    </row>
    <row r="1058" spans="1:16">
      <c r="A1058" t="s">
        <v>1142</v>
      </c>
      <c r="B1058" s="2">
        <v>45774</v>
      </c>
      <c r="C1058" t="s">
        <v>723</v>
      </c>
      <c r="D1058" t="s">
        <v>23</v>
      </c>
      <c r="E1058" t="s">
        <v>19</v>
      </c>
      <c r="F1058" t="s">
        <v>25</v>
      </c>
      <c r="G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77.7</v>
      </c>
    </row>
    <row r="1059" spans="1:16">
      <c r="A1059" t="s">
        <v>1143</v>
      </c>
      <c r="B1059" s="2">
        <v>45750</v>
      </c>
      <c r="C1059" t="s">
        <v>723</v>
      </c>
      <c r="D1059" t="s">
        <v>32</v>
      </c>
      <c r="E1059" t="s">
        <v>24</v>
      </c>
      <c r="F1059" t="s">
        <v>25</v>
      </c>
      <c r="G1059" t="s">
        <v>26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P1059">
        <v>66.2</v>
      </c>
    </row>
    <row r="1060" spans="1:16">
      <c r="A1060" t="s">
        <v>1144</v>
      </c>
      <c r="B1060" s="2">
        <v>45742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1</v>
      </c>
      <c r="J1060">
        <v>1</v>
      </c>
      <c r="K1060">
        <v>0</v>
      </c>
      <c r="L1060">
        <v>0</v>
      </c>
      <c r="M1060">
        <v>1</v>
      </c>
      <c r="N1060">
        <v>0</v>
      </c>
      <c r="P1060">
        <v>43.9</v>
      </c>
    </row>
    <row r="1061" spans="1:16">
      <c r="A1061" t="s">
        <v>1145</v>
      </c>
      <c r="B1061" s="2">
        <v>45688</v>
      </c>
      <c r="C1061" t="s">
        <v>723</v>
      </c>
      <c r="D1061" t="s">
        <v>32</v>
      </c>
      <c r="E1061" t="s">
        <v>24</v>
      </c>
      <c r="F1061" t="s">
        <v>25</v>
      </c>
      <c r="G1061" t="s">
        <v>21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2</v>
      </c>
      <c r="N1061">
        <v>0</v>
      </c>
      <c r="P1061">
        <v>59.1</v>
      </c>
    </row>
    <row r="1062" spans="1:16">
      <c r="A1062" t="s">
        <v>1147</v>
      </c>
      <c r="B1062" s="2">
        <v>45694</v>
      </c>
      <c r="C1062" t="s">
        <v>723</v>
      </c>
      <c r="D1062" t="s">
        <v>23</v>
      </c>
      <c r="E1062" t="s">
        <v>24</v>
      </c>
      <c r="F1062" t="s">
        <v>39</v>
      </c>
      <c r="G1062" t="s">
        <v>21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47.9</v>
      </c>
    </row>
    <row r="1063" spans="1:16">
      <c r="A1063" t="s">
        <v>1148</v>
      </c>
      <c r="B1063" s="2">
        <v>45726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P1063">
        <v>41.5</v>
      </c>
    </row>
    <row r="1064" spans="1:16">
      <c r="A1064" t="s">
        <v>1149</v>
      </c>
      <c r="B1064" s="2">
        <v>45683</v>
      </c>
      <c r="C1064" t="s">
        <v>723</v>
      </c>
      <c r="D1064" t="s">
        <v>23</v>
      </c>
      <c r="E1064" t="s">
        <v>24</v>
      </c>
      <c r="F1064" t="s">
        <v>25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3</v>
      </c>
      <c r="N1064">
        <v>0</v>
      </c>
      <c r="P1064">
        <v>30.6</v>
      </c>
    </row>
    <row r="1065" spans="1:16">
      <c r="A1065" t="s">
        <v>1150</v>
      </c>
      <c r="B1065" s="2">
        <v>45658</v>
      </c>
      <c r="C1065" t="s">
        <v>723</v>
      </c>
      <c r="D1065" t="s">
        <v>28</v>
      </c>
      <c r="E1065" t="s">
        <v>24</v>
      </c>
      <c r="F1065" t="s">
        <v>29</v>
      </c>
      <c r="G1065" t="s">
        <v>26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91.5</v>
      </c>
    </row>
    <row r="1066" spans="1:16">
      <c r="A1066" t="s">
        <v>1151</v>
      </c>
      <c r="B1066" s="2">
        <v>45775</v>
      </c>
      <c r="C1066" t="s">
        <v>723</v>
      </c>
      <c r="D1066" t="s">
        <v>18</v>
      </c>
      <c r="E1066" t="s">
        <v>19</v>
      </c>
      <c r="F1066" t="s">
        <v>41</v>
      </c>
      <c r="G1066" t="s">
        <v>21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P1066">
        <v>80.8</v>
      </c>
    </row>
    <row r="1067" spans="1:16">
      <c r="A1067" t="s">
        <v>1152</v>
      </c>
      <c r="B1067" s="2">
        <v>45751</v>
      </c>
      <c r="C1067" t="s">
        <v>723</v>
      </c>
      <c r="D1067" t="s">
        <v>18</v>
      </c>
      <c r="E1067" t="s">
        <v>24</v>
      </c>
      <c r="F1067" t="s">
        <v>25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P1067">
        <v>68.099999999999994</v>
      </c>
    </row>
    <row r="1068" spans="1:16">
      <c r="A1068" t="s">
        <v>1153</v>
      </c>
      <c r="B1068" s="2">
        <v>45718</v>
      </c>
      <c r="C1068" t="s">
        <v>723</v>
      </c>
      <c r="D1068" t="s">
        <v>28</v>
      </c>
      <c r="E1068" t="s">
        <v>24</v>
      </c>
      <c r="F1068" t="s">
        <v>29</v>
      </c>
      <c r="G1068" t="s">
        <v>26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80.3</v>
      </c>
    </row>
    <row r="1069" spans="1:16">
      <c r="A1069" t="s">
        <v>1154</v>
      </c>
      <c r="B1069" s="2">
        <v>45735</v>
      </c>
      <c r="C1069" t="s">
        <v>723</v>
      </c>
      <c r="D1069" t="s">
        <v>32</v>
      </c>
      <c r="E1069" t="s">
        <v>34</v>
      </c>
      <c r="F1069" t="s">
        <v>25</v>
      </c>
      <c r="G1069" t="s">
        <v>21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P1069">
        <v>44.4</v>
      </c>
    </row>
    <row r="1070" spans="1:16">
      <c r="A1070" t="s">
        <v>1155</v>
      </c>
      <c r="B1070" s="2">
        <v>45677</v>
      </c>
      <c r="C1070" t="s">
        <v>723</v>
      </c>
      <c r="D1070" t="s">
        <v>32</v>
      </c>
      <c r="E1070" t="s">
        <v>19</v>
      </c>
      <c r="F1070" t="s">
        <v>25</v>
      </c>
      <c r="G1070" t="s">
        <v>21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P1070">
        <v>51.9</v>
      </c>
    </row>
    <row r="1071" spans="1:16">
      <c r="A1071" t="s">
        <v>1156</v>
      </c>
      <c r="B1071" s="2">
        <v>45750</v>
      </c>
      <c r="C1071" t="s">
        <v>723</v>
      </c>
      <c r="D1071" t="s">
        <v>28</v>
      </c>
      <c r="E1071" t="s">
        <v>24</v>
      </c>
      <c r="F1071" t="s">
        <v>29</v>
      </c>
      <c r="G1071" t="s">
        <v>26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49.8</v>
      </c>
    </row>
    <row r="1072" spans="1:16">
      <c r="A1072" t="s">
        <v>1157</v>
      </c>
      <c r="B1072" s="2">
        <v>45668</v>
      </c>
      <c r="C1072" t="s">
        <v>723</v>
      </c>
      <c r="D1072" t="s">
        <v>28</v>
      </c>
      <c r="E1072" t="s">
        <v>19</v>
      </c>
      <c r="F1072" t="s">
        <v>41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3</v>
      </c>
      <c r="N1072">
        <v>0</v>
      </c>
      <c r="P1072">
        <v>62.1</v>
      </c>
    </row>
    <row r="1073" spans="1:16">
      <c r="A1073" t="s">
        <v>1158</v>
      </c>
      <c r="B1073" s="2">
        <v>45690</v>
      </c>
      <c r="C1073" t="s">
        <v>723</v>
      </c>
      <c r="D1073" t="s">
        <v>23</v>
      </c>
      <c r="E1073" t="s">
        <v>19</v>
      </c>
      <c r="F1073" t="s">
        <v>41</v>
      </c>
      <c r="G1073" t="s">
        <v>21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91.3</v>
      </c>
    </row>
    <row r="1074" spans="1:16">
      <c r="A1074" t="s">
        <v>1159</v>
      </c>
      <c r="B1074" s="2">
        <v>45748</v>
      </c>
      <c r="C1074" t="s">
        <v>723</v>
      </c>
      <c r="D1074" t="s">
        <v>32</v>
      </c>
      <c r="E1074" t="s">
        <v>24</v>
      </c>
      <c r="F1074" t="s">
        <v>25</v>
      </c>
      <c r="G1074" t="s">
        <v>21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66.400000000000006</v>
      </c>
    </row>
    <row r="1075" spans="1:16">
      <c r="A1075" t="s">
        <v>1160</v>
      </c>
      <c r="B1075" s="2">
        <v>45799</v>
      </c>
      <c r="C1075" t="s">
        <v>723</v>
      </c>
      <c r="D1075" t="s">
        <v>28</v>
      </c>
      <c r="E1075" t="s">
        <v>24</v>
      </c>
      <c r="F1075" t="s">
        <v>25</v>
      </c>
      <c r="G1075" t="s">
        <v>21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41.5</v>
      </c>
    </row>
    <row r="1076" spans="1:16">
      <c r="A1076" t="s">
        <v>1161</v>
      </c>
      <c r="B1076" s="2">
        <v>45708</v>
      </c>
      <c r="C1076" t="s">
        <v>723</v>
      </c>
      <c r="D1076" t="s">
        <v>23</v>
      </c>
      <c r="E1076" t="s">
        <v>24</v>
      </c>
      <c r="F1076" t="s">
        <v>25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77.099999999999994</v>
      </c>
    </row>
    <row r="1077" spans="1:16">
      <c r="A1077" t="s">
        <v>1162</v>
      </c>
      <c r="B1077" s="2">
        <v>45737</v>
      </c>
      <c r="C1077" t="s">
        <v>723</v>
      </c>
      <c r="D1077" t="s">
        <v>23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63.2</v>
      </c>
    </row>
    <row r="1078" spans="1:16">
      <c r="A1078" t="s">
        <v>1163</v>
      </c>
      <c r="B1078" s="2">
        <v>45778</v>
      </c>
      <c r="C1078" t="s">
        <v>723</v>
      </c>
      <c r="D1078" t="s">
        <v>23</v>
      </c>
      <c r="E1078" t="s">
        <v>19</v>
      </c>
      <c r="F1078" t="s">
        <v>39</v>
      </c>
      <c r="G1078" t="s">
        <v>26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3</v>
      </c>
      <c r="N1078">
        <v>0</v>
      </c>
      <c r="P1078">
        <v>75.7</v>
      </c>
    </row>
    <row r="1079" spans="1:16">
      <c r="A1079" t="s">
        <v>1164</v>
      </c>
      <c r="B1079" s="2">
        <v>45663</v>
      </c>
      <c r="C1079" t="s">
        <v>723</v>
      </c>
      <c r="D1079" t="s">
        <v>23</v>
      </c>
      <c r="E1079" t="s">
        <v>24</v>
      </c>
      <c r="F1079" t="s">
        <v>29</v>
      </c>
      <c r="G1079" t="s">
        <v>21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62.9</v>
      </c>
    </row>
    <row r="1080" spans="1:16">
      <c r="A1080" t="s">
        <v>1165</v>
      </c>
      <c r="B1080" s="2">
        <v>45759</v>
      </c>
      <c r="C1080" t="s">
        <v>723</v>
      </c>
      <c r="D1080" t="s">
        <v>18</v>
      </c>
      <c r="E1080" t="s">
        <v>19</v>
      </c>
      <c r="F1080" t="s">
        <v>29</v>
      </c>
      <c r="G1080" t="s">
        <v>30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0</v>
      </c>
      <c r="P1080">
        <v>64.599999999999994</v>
      </c>
    </row>
    <row r="1081" spans="1:16">
      <c r="A1081" t="s">
        <v>1166</v>
      </c>
      <c r="B1081" s="2">
        <v>45765</v>
      </c>
      <c r="C1081" t="s">
        <v>723</v>
      </c>
      <c r="D1081" t="s">
        <v>18</v>
      </c>
      <c r="E1081" t="s">
        <v>24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76.599999999999994</v>
      </c>
    </row>
    <row r="1082" spans="1:16">
      <c r="A1082" t="s">
        <v>1167</v>
      </c>
      <c r="B1082" s="2">
        <v>45740</v>
      </c>
      <c r="C1082" t="s">
        <v>723</v>
      </c>
      <c r="D1082" t="s">
        <v>28</v>
      </c>
      <c r="E1082" t="s">
        <v>24</v>
      </c>
      <c r="F1082" t="s">
        <v>41</v>
      </c>
      <c r="G1082" t="s">
        <v>21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74.8</v>
      </c>
    </row>
    <row r="1083" spans="1:16">
      <c r="A1083" t="s">
        <v>1168</v>
      </c>
      <c r="B1083" s="2">
        <v>45734</v>
      </c>
      <c r="C1083" t="s">
        <v>723</v>
      </c>
      <c r="D1083" t="s">
        <v>28</v>
      </c>
      <c r="E1083" t="s">
        <v>19</v>
      </c>
      <c r="F1083" t="s">
        <v>20</v>
      </c>
      <c r="G1083" t="s">
        <v>30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2</v>
      </c>
      <c r="N1083">
        <v>0</v>
      </c>
      <c r="P1083">
        <v>38.1</v>
      </c>
    </row>
    <row r="1084" spans="1:16">
      <c r="A1084" t="s">
        <v>1169</v>
      </c>
      <c r="B1084" s="2">
        <v>45777</v>
      </c>
      <c r="C1084" t="s">
        <v>723</v>
      </c>
      <c r="D1084" t="s">
        <v>32</v>
      </c>
      <c r="E1084" t="s">
        <v>34</v>
      </c>
      <c r="F1084" t="s">
        <v>29</v>
      </c>
      <c r="G1084" t="s">
        <v>21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60.2</v>
      </c>
    </row>
    <row r="1085" spans="1:16">
      <c r="A1085" t="s">
        <v>1170</v>
      </c>
      <c r="B1085" s="2">
        <v>45682</v>
      </c>
      <c r="C1085" t="s">
        <v>723</v>
      </c>
      <c r="D1085" t="s">
        <v>23</v>
      </c>
      <c r="E1085" t="s">
        <v>24</v>
      </c>
      <c r="F1085" t="s">
        <v>20</v>
      </c>
      <c r="G1085" t="s">
        <v>26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73.5</v>
      </c>
    </row>
    <row r="1086" spans="1:16">
      <c r="A1086" t="s">
        <v>1171</v>
      </c>
      <c r="B1086" s="2">
        <v>45757</v>
      </c>
      <c r="C1086" t="s">
        <v>723</v>
      </c>
      <c r="D1086" t="s">
        <v>32</v>
      </c>
      <c r="E1086" t="s">
        <v>24</v>
      </c>
      <c r="F1086" t="s">
        <v>25</v>
      </c>
      <c r="G1086" t="s">
        <v>26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P1086">
        <v>70.900000000000006</v>
      </c>
    </row>
    <row r="1087" spans="1:16">
      <c r="A1087" t="s">
        <v>1172</v>
      </c>
      <c r="B1087" s="2">
        <v>45667</v>
      </c>
      <c r="C1087" t="s">
        <v>723</v>
      </c>
      <c r="D1087" t="s">
        <v>23</v>
      </c>
      <c r="E1087" t="s">
        <v>24</v>
      </c>
      <c r="F1087" t="s">
        <v>41</v>
      </c>
      <c r="G1087" t="s">
        <v>26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63.7</v>
      </c>
    </row>
    <row r="1088" spans="1:16">
      <c r="A1088" t="s">
        <v>1173</v>
      </c>
      <c r="B1088" s="2">
        <v>45699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86.5</v>
      </c>
    </row>
    <row r="1089" spans="1:16">
      <c r="A1089" t="s">
        <v>1175</v>
      </c>
      <c r="B1089" s="2">
        <v>45675</v>
      </c>
      <c r="C1089" t="s">
        <v>723</v>
      </c>
      <c r="D1089" t="s">
        <v>28</v>
      </c>
      <c r="E1089" t="s">
        <v>24</v>
      </c>
      <c r="F1089" t="s">
        <v>25</v>
      </c>
      <c r="G1089" t="s">
        <v>26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P1089">
        <v>46.6</v>
      </c>
    </row>
    <row r="1090" spans="1:16">
      <c r="A1090" t="s">
        <v>1176</v>
      </c>
      <c r="B1090" s="2">
        <v>45659</v>
      </c>
      <c r="C1090" t="s">
        <v>723</v>
      </c>
      <c r="D1090" t="s">
        <v>18</v>
      </c>
      <c r="E1090" t="s">
        <v>24</v>
      </c>
      <c r="F1090" t="s">
        <v>29</v>
      </c>
      <c r="G1090" t="s">
        <v>26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61.2</v>
      </c>
    </row>
    <row r="1091" spans="1:16">
      <c r="A1091" t="s">
        <v>1178</v>
      </c>
      <c r="B1091" s="2">
        <v>45738</v>
      </c>
      <c r="C1091" t="s">
        <v>723</v>
      </c>
      <c r="D1091" t="s">
        <v>18</v>
      </c>
      <c r="E1091" t="s">
        <v>24</v>
      </c>
      <c r="F1091" t="s">
        <v>39</v>
      </c>
      <c r="G1091" t="s">
        <v>26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P1091">
        <v>72</v>
      </c>
    </row>
    <row r="1092" spans="1:16">
      <c r="A1092" t="s">
        <v>1180</v>
      </c>
      <c r="B1092" s="2">
        <v>45803</v>
      </c>
      <c r="C1092" t="s">
        <v>723</v>
      </c>
      <c r="D1092" t="s">
        <v>28</v>
      </c>
      <c r="E1092" t="s">
        <v>19</v>
      </c>
      <c r="G1092" t="s">
        <v>21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77.599999999999994</v>
      </c>
    </row>
    <row r="1093" spans="1:16">
      <c r="A1093" t="s">
        <v>1181</v>
      </c>
      <c r="B1093" s="2">
        <v>45729</v>
      </c>
      <c r="C1093" t="s">
        <v>723</v>
      </c>
      <c r="D1093" t="s">
        <v>32</v>
      </c>
      <c r="E1093" t="s">
        <v>24</v>
      </c>
      <c r="F1093" t="s">
        <v>25</v>
      </c>
      <c r="G1093" t="s">
        <v>21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P1093">
        <v>44.3</v>
      </c>
    </row>
    <row r="1094" spans="1:16">
      <c r="A1094" t="s">
        <v>1182</v>
      </c>
      <c r="B1094" s="2">
        <v>45794</v>
      </c>
      <c r="C1094" t="s">
        <v>723</v>
      </c>
      <c r="D1094" t="s">
        <v>32</v>
      </c>
      <c r="E1094" t="s">
        <v>19</v>
      </c>
      <c r="F1094" t="s">
        <v>29</v>
      </c>
      <c r="G1094" t="s">
        <v>26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49</v>
      </c>
    </row>
    <row r="1095" spans="1:16">
      <c r="A1095" t="s">
        <v>1183</v>
      </c>
      <c r="B1095" s="2">
        <v>45729</v>
      </c>
      <c r="C1095" t="s">
        <v>723</v>
      </c>
      <c r="D1095" t="s">
        <v>18</v>
      </c>
      <c r="E1095" t="s">
        <v>19</v>
      </c>
      <c r="F1095" t="s">
        <v>39</v>
      </c>
      <c r="G1095" t="s">
        <v>30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53.9</v>
      </c>
    </row>
    <row r="1096" spans="1:16">
      <c r="A1096" t="s">
        <v>1184</v>
      </c>
      <c r="B1096" s="2">
        <v>45699</v>
      </c>
      <c r="C1096" t="s">
        <v>723</v>
      </c>
      <c r="D1096" t="s">
        <v>28</v>
      </c>
      <c r="E1096" t="s">
        <v>19</v>
      </c>
      <c r="F1096" t="s">
        <v>25</v>
      </c>
      <c r="G1096" t="s">
        <v>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0</v>
      </c>
      <c r="P1096">
        <v>69</v>
      </c>
    </row>
    <row r="1097" spans="1:16">
      <c r="A1097" t="s">
        <v>1185</v>
      </c>
      <c r="B1097" s="2">
        <v>45717</v>
      </c>
      <c r="C1097" t="s">
        <v>723</v>
      </c>
      <c r="D1097" t="s">
        <v>23</v>
      </c>
      <c r="E1097" t="s">
        <v>24</v>
      </c>
      <c r="F1097" t="s">
        <v>41</v>
      </c>
      <c r="G1097" t="s">
        <v>26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37.4</v>
      </c>
    </row>
    <row r="1098" spans="1:16">
      <c r="A1098" t="s">
        <v>1186</v>
      </c>
      <c r="B1098" s="2">
        <v>45762</v>
      </c>
      <c r="C1098" t="s">
        <v>723</v>
      </c>
      <c r="D1098" t="s">
        <v>23</v>
      </c>
      <c r="E1098" t="s">
        <v>24</v>
      </c>
      <c r="F1098" t="s">
        <v>25</v>
      </c>
      <c r="G1098" t="s">
        <v>21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59</v>
      </c>
    </row>
    <row r="1099" spans="1:16">
      <c r="A1099" t="s">
        <v>1187</v>
      </c>
      <c r="B1099" s="2">
        <v>45690</v>
      </c>
      <c r="C1099" t="s">
        <v>723</v>
      </c>
      <c r="D1099" t="s">
        <v>28</v>
      </c>
      <c r="E1099" t="s">
        <v>24</v>
      </c>
      <c r="F1099" t="s">
        <v>25</v>
      </c>
      <c r="G1099" t="s">
        <v>30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60.8</v>
      </c>
    </row>
    <row r="1100" spans="1:16">
      <c r="A1100" t="s">
        <v>1188</v>
      </c>
      <c r="B1100" s="2">
        <v>45796</v>
      </c>
      <c r="C1100" t="s">
        <v>723</v>
      </c>
      <c r="D1100" t="s">
        <v>32</v>
      </c>
      <c r="E1100" t="s">
        <v>24</v>
      </c>
      <c r="F1100" t="s">
        <v>20</v>
      </c>
      <c r="G1100" t="s">
        <v>26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57.5</v>
      </c>
    </row>
    <row r="1101" spans="1:16">
      <c r="A1101" t="s">
        <v>1189</v>
      </c>
      <c r="B1101" s="2">
        <v>45662</v>
      </c>
      <c r="C1101" t="s">
        <v>723</v>
      </c>
      <c r="D1101" t="s">
        <v>23</v>
      </c>
      <c r="E1101" t="s">
        <v>24</v>
      </c>
      <c r="F1101" t="s">
        <v>39</v>
      </c>
      <c r="G1101" t="s">
        <v>26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84.2</v>
      </c>
    </row>
    <row r="1102" spans="1:16">
      <c r="A1102" t="s">
        <v>1190</v>
      </c>
      <c r="B1102" s="2">
        <v>45724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27.4</v>
      </c>
    </row>
    <row r="1103" spans="1:16">
      <c r="A1103" t="s">
        <v>1191</v>
      </c>
      <c r="B1103" s="2">
        <v>45728</v>
      </c>
      <c r="C1103" t="s">
        <v>723</v>
      </c>
      <c r="D1103" t="s">
        <v>23</v>
      </c>
      <c r="E1103" t="s">
        <v>24</v>
      </c>
      <c r="F1103" t="s">
        <v>20</v>
      </c>
      <c r="G1103" t="s">
        <v>21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P1103">
        <v>67.599999999999994</v>
      </c>
    </row>
    <row r="1104" spans="1:16">
      <c r="A1104" t="s">
        <v>1192</v>
      </c>
      <c r="B1104" s="2">
        <v>45681</v>
      </c>
      <c r="C1104" t="s">
        <v>723</v>
      </c>
      <c r="D1104" t="s">
        <v>23</v>
      </c>
      <c r="E1104" t="s">
        <v>24</v>
      </c>
      <c r="F1104" t="s">
        <v>25</v>
      </c>
      <c r="G1104" t="s">
        <v>26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68.400000000000006</v>
      </c>
    </row>
    <row r="1105" spans="1:16">
      <c r="A1105" t="s">
        <v>1193</v>
      </c>
      <c r="B1105" s="2">
        <v>45799</v>
      </c>
      <c r="C1105" t="s">
        <v>723</v>
      </c>
      <c r="D1105" t="s">
        <v>32</v>
      </c>
      <c r="E1105" t="s">
        <v>24</v>
      </c>
      <c r="F1105" t="s">
        <v>29</v>
      </c>
      <c r="G1105" t="s">
        <v>21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P1105">
        <v>66.5</v>
      </c>
    </row>
    <row r="1106" spans="1:16">
      <c r="A1106" t="s">
        <v>1194</v>
      </c>
      <c r="B1106" s="2">
        <v>45743</v>
      </c>
      <c r="C1106" t="s">
        <v>723</v>
      </c>
      <c r="D1106" t="s">
        <v>32</v>
      </c>
      <c r="E1106" t="s">
        <v>24</v>
      </c>
      <c r="F1106" t="s">
        <v>29</v>
      </c>
      <c r="G1106" t="s">
        <v>26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38.200000000000003</v>
      </c>
    </row>
    <row r="1107" spans="1:16">
      <c r="A1107" t="s">
        <v>1195</v>
      </c>
      <c r="B1107" s="2">
        <v>45659</v>
      </c>
      <c r="C1107" t="s">
        <v>723</v>
      </c>
      <c r="D1107" t="s">
        <v>23</v>
      </c>
      <c r="E1107" t="s">
        <v>24</v>
      </c>
      <c r="F1107" t="s">
        <v>41</v>
      </c>
      <c r="G1107" t="s">
        <v>26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P1107">
        <v>66.7</v>
      </c>
    </row>
    <row r="1108" spans="1:16">
      <c r="A1108" t="s">
        <v>1196</v>
      </c>
      <c r="B1108" s="2">
        <v>45712</v>
      </c>
      <c r="C1108" t="s">
        <v>723</v>
      </c>
      <c r="D1108" t="s">
        <v>18</v>
      </c>
      <c r="E1108" t="s">
        <v>24</v>
      </c>
      <c r="F1108" t="s">
        <v>29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73.7</v>
      </c>
    </row>
    <row r="1109" spans="1:16">
      <c r="A1109" t="s">
        <v>1197</v>
      </c>
      <c r="B1109" s="2">
        <v>45717</v>
      </c>
      <c r="C1109" t="s">
        <v>723</v>
      </c>
      <c r="D1109" t="s">
        <v>23</v>
      </c>
      <c r="E1109" t="s">
        <v>19</v>
      </c>
      <c r="F1109" t="s">
        <v>25</v>
      </c>
      <c r="G1109" t="s">
        <v>21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P1109">
        <v>63.9</v>
      </c>
    </row>
    <row r="1110" spans="1:16">
      <c r="A1110" t="s">
        <v>1198</v>
      </c>
      <c r="B1110" s="2">
        <v>45742</v>
      </c>
      <c r="C1110" t="s">
        <v>723</v>
      </c>
      <c r="D1110" t="s">
        <v>32</v>
      </c>
      <c r="E1110" t="s">
        <v>34</v>
      </c>
      <c r="F1110" t="s">
        <v>25</v>
      </c>
      <c r="G1110" t="s">
        <v>21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P1110">
        <v>82.6</v>
      </c>
    </row>
    <row r="1111" spans="1:16">
      <c r="A1111" t="s">
        <v>1199</v>
      </c>
      <c r="B1111" s="2">
        <v>45802</v>
      </c>
      <c r="C1111" t="s">
        <v>723</v>
      </c>
      <c r="D1111" t="s">
        <v>28</v>
      </c>
      <c r="E1111" t="s">
        <v>24</v>
      </c>
      <c r="F1111" t="s">
        <v>29</v>
      </c>
      <c r="G1111" t="s">
        <v>26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P1111">
        <v>58.3</v>
      </c>
    </row>
    <row r="1112" spans="1:16">
      <c r="A1112" t="s">
        <v>1201</v>
      </c>
      <c r="B1112" s="2">
        <v>45739</v>
      </c>
      <c r="C1112" t="s">
        <v>723</v>
      </c>
      <c r="D1112" t="s">
        <v>32</v>
      </c>
      <c r="E1112" t="s">
        <v>24</v>
      </c>
      <c r="F1112" t="s">
        <v>41</v>
      </c>
      <c r="G1112" t="s">
        <v>26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2</v>
      </c>
      <c r="N1112">
        <v>0</v>
      </c>
      <c r="P1112">
        <v>53.5</v>
      </c>
    </row>
    <row r="1113" spans="1:16">
      <c r="A1113" t="s">
        <v>1202</v>
      </c>
      <c r="B1113" s="2">
        <v>45768</v>
      </c>
      <c r="C1113" t="s">
        <v>723</v>
      </c>
      <c r="D1113" t="s">
        <v>23</v>
      </c>
      <c r="E1113" t="s">
        <v>24</v>
      </c>
      <c r="F1113" t="s">
        <v>39</v>
      </c>
      <c r="G1113" t="s">
        <v>26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54.8</v>
      </c>
    </row>
    <row r="1114" spans="1:16">
      <c r="A1114" t="s">
        <v>1203</v>
      </c>
      <c r="B1114" s="2">
        <v>45798</v>
      </c>
      <c r="C1114" t="s">
        <v>723</v>
      </c>
      <c r="D1114" t="s">
        <v>18</v>
      </c>
      <c r="E1114" t="s">
        <v>24</v>
      </c>
      <c r="F1114" t="s">
        <v>25</v>
      </c>
      <c r="G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69.5</v>
      </c>
    </row>
    <row r="1115" spans="1:16">
      <c r="A1115" t="s">
        <v>1204</v>
      </c>
      <c r="B1115" s="2">
        <v>45772</v>
      </c>
      <c r="C1115" t="s">
        <v>723</v>
      </c>
      <c r="D1115" t="s">
        <v>18</v>
      </c>
      <c r="E1115" t="s">
        <v>19</v>
      </c>
      <c r="F1115" t="s">
        <v>41</v>
      </c>
      <c r="G1115" t="s">
        <v>26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71.3</v>
      </c>
    </row>
    <row r="1116" spans="1:16">
      <c r="A1116" t="s">
        <v>1205</v>
      </c>
      <c r="B1116" s="2">
        <v>45800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P1116">
        <v>57.5</v>
      </c>
    </row>
    <row r="1117" spans="1:16">
      <c r="A1117" t="s">
        <v>1206</v>
      </c>
      <c r="B1117" s="2">
        <v>45734</v>
      </c>
      <c r="C1117" t="s">
        <v>723</v>
      </c>
      <c r="D1117" t="s">
        <v>32</v>
      </c>
      <c r="E1117" t="s">
        <v>24</v>
      </c>
      <c r="F1117" t="s">
        <v>20</v>
      </c>
      <c r="G1117" t="s">
        <v>26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4</v>
      </c>
      <c r="N1117">
        <v>0</v>
      </c>
      <c r="P1117">
        <v>50.9</v>
      </c>
    </row>
    <row r="1118" spans="1:16">
      <c r="A1118" t="s">
        <v>1207</v>
      </c>
      <c r="B1118" s="2">
        <v>45660</v>
      </c>
      <c r="C1118" t="s">
        <v>723</v>
      </c>
      <c r="D1118" t="s">
        <v>32</v>
      </c>
      <c r="E1118" t="s">
        <v>34</v>
      </c>
      <c r="F1118" t="s">
        <v>25</v>
      </c>
      <c r="G1118" t="s">
        <v>26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P1118">
        <v>69.3</v>
      </c>
    </row>
    <row r="1119" spans="1:16">
      <c r="A1119" t="s">
        <v>1208</v>
      </c>
      <c r="B1119" s="2">
        <v>45696</v>
      </c>
      <c r="C1119" t="s">
        <v>723</v>
      </c>
      <c r="D1119" t="s">
        <v>23</v>
      </c>
      <c r="E1119" t="s">
        <v>19</v>
      </c>
      <c r="F1119" t="s">
        <v>25</v>
      </c>
      <c r="G1119" t="s">
        <v>26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50.1</v>
      </c>
    </row>
    <row r="1120" spans="1:16">
      <c r="A1120" t="s">
        <v>1209</v>
      </c>
      <c r="B1120" s="2">
        <v>45692</v>
      </c>
      <c r="C1120" t="s">
        <v>723</v>
      </c>
      <c r="D1120" t="s">
        <v>28</v>
      </c>
      <c r="F1120" t="s">
        <v>29</v>
      </c>
      <c r="G1120" t="s">
        <v>21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69.7</v>
      </c>
    </row>
    <row r="1121" spans="1:16">
      <c r="A1121" t="s">
        <v>1210</v>
      </c>
      <c r="B1121" s="2">
        <v>45673</v>
      </c>
      <c r="C1121" t="s">
        <v>723</v>
      </c>
      <c r="D1121" t="s">
        <v>18</v>
      </c>
      <c r="E1121" t="s">
        <v>24</v>
      </c>
      <c r="F1121" t="s">
        <v>29</v>
      </c>
      <c r="G1121" t="s">
        <v>26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63.5</v>
      </c>
    </row>
    <row r="1122" spans="1:16">
      <c r="A1122" t="s">
        <v>1212</v>
      </c>
      <c r="B1122" s="2">
        <v>45680</v>
      </c>
      <c r="C1122" t="s">
        <v>723</v>
      </c>
      <c r="D1122" t="s">
        <v>18</v>
      </c>
      <c r="E1122" t="s">
        <v>19</v>
      </c>
      <c r="F1122" t="s">
        <v>29</v>
      </c>
      <c r="G1122" t="s">
        <v>26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58.9</v>
      </c>
    </row>
    <row r="1123" spans="1:16">
      <c r="A1123" t="s">
        <v>1213</v>
      </c>
      <c r="B1123" s="2">
        <v>45738</v>
      </c>
      <c r="C1123" t="s">
        <v>723</v>
      </c>
      <c r="D1123" t="s">
        <v>32</v>
      </c>
      <c r="E1123" t="s">
        <v>19</v>
      </c>
      <c r="F1123" t="s">
        <v>29</v>
      </c>
      <c r="G1123" t="s">
        <v>26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56.8</v>
      </c>
    </row>
    <row r="1124" spans="1:16">
      <c r="A1124" t="s">
        <v>1214</v>
      </c>
      <c r="B1124" s="2">
        <v>45690</v>
      </c>
      <c r="C1124" t="s">
        <v>723</v>
      </c>
      <c r="D1124" t="s">
        <v>28</v>
      </c>
      <c r="E1124" t="s">
        <v>34</v>
      </c>
      <c r="F1124" t="s">
        <v>41</v>
      </c>
      <c r="G1124" t="s">
        <v>30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73.900000000000006</v>
      </c>
    </row>
    <row r="1125" spans="1:16">
      <c r="A1125" t="s">
        <v>1215</v>
      </c>
      <c r="B1125" s="2">
        <v>45688</v>
      </c>
      <c r="C1125" t="s">
        <v>723</v>
      </c>
      <c r="D1125" t="s">
        <v>18</v>
      </c>
      <c r="E1125" t="s">
        <v>19</v>
      </c>
      <c r="F1125" t="s">
        <v>29</v>
      </c>
      <c r="G1125" t="s">
        <v>26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76.3</v>
      </c>
    </row>
    <row r="1126" spans="1:16">
      <c r="A1126" t="s">
        <v>1216</v>
      </c>
      <c r="B1126" s="2">
        <v>45804</v>
      </c>
      <c r="C1126" t="s">
        <v>723</v>
      </c>
      <c r="D1126" t="s">
        <v>23</v>
      </c>
      <c r="E1126" t="s">
        <v>24</v>
      </c>
      <c r="F1126" t="s">
        <v>25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56.9</v>
      </c>
    </row>
    <row r="1127" spans="1:16">
      <c r="A1127" t="s">
        <v>1217</v>
      </c>
      <c r="B1127" s="2">
        <v>45784</v>
      </c>
      <c r="C1127" t="s">
        <v>723</v>
      </c>
      <c r="D1127" t="s">
        <v>18</v>
      </c>
      <c r="E1127" t="s">
        <v>24</v>
      </c>
      <c r="F1127" t="s">
        <v>25</v>
      </c>
      <c r="G1127" t="s">
        <v>30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P1127">
        <v>49.4</v>
      </c>
    </row>
    <row r="1128" spans="1:16">
      <c r="A1128" t="s">
        <v>1218</v>
      </c>
      <c r="B1128" s="2">
        <v>45785</v>
      </c>
      <c r="C1128" t="s">
        <v>723</v>
      </c>
      <c r="D1128" t="s">
        <v>18</v>
      </c>
      <c r="E1128" t="s">
        <v>19</v>
      </c>
      <c r="F1128" t="s">
        <v>29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86.7</v>
      </c>
    </row>
    <row r="1129" spans="1:16">
      <c r="A1129" t="s">
        <v>1219</v>
      </c>
      <c r="B1129" s="2">
        <v>45672</v>
      </c>
      <c r="C1129" t="s">
        <v>723</v>
      </c>
      <c r="D1129" t="s">
        <v>23</v>
      </c>
      <c r="E1129" t="s">
        <v>19</v>
      </c>
      <c r="F1129" t="s">
        <v>20</v>
      </c>
      <c r="G1129" t="s">
        <v>26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3</v>
      </c>
      <c r="N1129">
        <v>0</v>
      </c>
      <c r="P1129">
        <v>69</v>
      </c>
    </row>
    <row r="1130" spans="1:16">
      <c r="A1130" t="s">
        <v>1220</v>
      </c>
      <c r="B1130" s="2">
        <v>45675</v>
      </c>
      <c r="C1130" t="s">
        <v>723</v>
      </c>
      <c r="D1130" t="s">
        <v>18</v>
      </c>
      <c r="E1130" t="s">
        <v>24</v>
      </c>
      <c r="F1130" t="s">
        <v>29</v>
      </c>
      <c r="G1130" t="s">
        <v>26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84.5</v>
      </c>
    </row>
    <row r="1131" spans="1:16">
      <c r="A1131" t="s">
        <v>1221</v>
      </c>
      <c r="B1131" s="2">
        <v>45763</v>
      </c>
      <c r="C1131" t="s">
        <v>723</v>
      </c>
      <c r="D1131" t="s">
        <v>28</v>
      </c>
      <c r="F1131" t="s">
        <v>39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66.3</v>
      </c>
    </row>
    <row r="1132" spans="1:16">
      <c r="A1132" t="s">
        <v>1222</v>
      </c>
      <c r="B1132" s="2">
        <v>45704</v>
      </c>
      <c r="C1132" t="s">
        <v>723</v>
      </c>
      <c r="D1132" t="s">
        <v>28</v>
      </c>
      <c r="E1132" t="s">
        <v>19</v>
      </c>
      <c r="F1132" t="s">
        <v>29</v>
      </c>
      <c r="G1132" t="s">
        <v>26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52.2</v>
      </c>
    </row>
    <row r="1133" spans="1:16">
      <c r="A1133" t="s">
        <v>1223</v>
      </c>
      <c r="B1133" s="2">
        <v>45764</v>
      </c>
      <c r="C1133" t="s">
        <v>723</v>
      </c>
      <c r="D1133" t="s">
        <v>32</v>
      </c>
      <c r="E1133" t="s">
        <v>19</v>
      </c>
      <c r="F1133" t="s">
        <v>39</v>
      </c>
      <c r="G1133" t="s">
        <v>30</v>
      </c>
      <c r="H1133">
        <v>1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P1133">
        <v>81.2</v>
      </c>
    </row>
    <row r="1134" spans="1:16">
      <c r="A1134" t="s">
        <v>1224</v>
      </c>
      <c r="B1134" s="2">
        <v>45777</v>
      </c>
      <c r="C1134" t="s">
        <v>723</v>
      </c>
      <c r="D1134" t="s">
        <v>32</v>
      </c>
      <c r="E1134" t="s">
        <v>24</v>
      </c>
      <c r="F1134" t="s">
        <v>25</v>
      </c>
      <c r="G1134" t="s">
        <v>21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P1134">
        <v>53.9</v>
      </c>
    </row>
    <row r="1135" spans="1:16">
      <c r="A1135" t="s">
        <v>1225</v>
      </c>
      <c r="B1135" s="2">
        <v>45686</v>
      </c>
      <c r="C1135" t="s">
        <v>723</v>
      </c>
      <c r="D1135" t="s">
        <v>23</v>
      </c>
      <c r="E1135" t="s">
        <v>24</v>
      </c>
      <c r="F1135" t="s">
        <v>41</v>
      </c>
      <c r="G1135" t="s">
        <v>30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39.1</v>
      </c>
    </row>
    <row r="1136" spans="1:16">
      <c r="A1136" t="s">
        <v>1226</v>
      </c>
      <c r="B1136" s="2">
        <v>45668</v>
      </c>
      <c r="C1136" t="s">
        <v>723</v>
      </c>
      <c r="D1136" t="s">
        <v>18</v>
      </c>
      <c r="E1136" t="s">
        <v>24</v>
      </c>
      <c r="F1136" t="s">
        <v>41</v>
      </c>
      <c r="G1136" t="s">
        <v>21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57.3</v>
      </c>
    </row>
    <row r="1137" spans="1:16">
      <c r="A1137" t="s">
        <v>1227</v>
      </c>
      <c r="B1137" s="2">
        <v>45755</v>
      </c>
      <c r="C1137" t="s">
        <v>723</v>
      </c>
      <c r="D1137" t="s">
        <v>28</v>
      </c>
      <c r="E1137" t="s">
        <v>19</v>
      </c>
      <c r="F1137" t="s">
        <v>29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P1137">
        <v>65.900000000000006</v>
      </c>
    </row>
    <row r="1138" spans="1:16">
      <c r="A1138" t="s">
        <v>1228</v>
      </c>
      <c r="B1138" s="2">
        <v>45710</v>
      </c>
      <c r="C1138" t="s">
        <v>723</v>
      </c>
      <c r="D1138" t="s">
        <v>18</v>
      </c>
      <c r="F1138" t="s">
        <v>41</v>
      </c>
      <c r="G1138" t="s">
        <v>26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P1138">
        <v>34.200000000000003</v>
      </c>
    </row>
    <row r="1139" spans="1:16">
      <c r="A1139" t="s">
        <v>1229</v>
      </c>
      <c r="B1139" s="2">
        <v>45739</v>
      </c>
      <c r="C1139" t="s">
        <v>723</v>
      </c>
      <c r="D1139" t="s">
        <v>32</v>
      </c>
      <c r="E1139" t="s">
        <v>24</v>
      </c>
      <c r="F1139" t="s">
        <v>25</v>
      </c>
      <c r="G1139" t="s">
        <v>26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47.2</v>
      </c>
    </row>
    <row r="1140" spans="1:16">
      <c r="A1140" t="s">
        <v>1230</v>
      </c>
      <c r="B1140" s="2">
        <v>45800</v>
      </c>
      <c r="C1140" t="s">
        <v>723</v>
      </c>
      <c r="D1140" t="s">
        <v>32</v>
      </c>
      <c r="E1140" t="s">
        <v>34</v>
      </c>
      <c r="F1140" t="s">
        <v>29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P1140">
        <v>55</v>
      </c>
    </row>
    <row r="1141" spans="1:16">
      <c r="A1141" t="s">
        <v>1231</v>
      </c>
      <c r="B1141" s="2">
        <v>45774</v>
      </c>
      <c r="C1141" t="s">
        <v>723</v>
      </c>
      <c r="D1141" t="s">
        <v>23</v>
      </c>
      <c r="E1141" t="s">
        <v>24</v>
      </c>
      <c r="F1141" t="s">
        <v>39</v>
      </c>
      <c r="G1141" t="s">
        <v>21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P1141">
        <v>76.400000000000006</v>
      </c>
    </row>
    <row r="1142" spans="1:16">
      <c r="A1142" t="s">
        <v>1232</v>
      </c>
      <c r="B1142" s="2">
        <v>45803</v>
      </c>
      <c r="C1142" t="s">
        <v>723</v>
      </c>
      <c r="D1142" t="s">
        <v>18</v>
      </c>
      <c r="E1142" t="s">
        <v>24</v>
      </c>
      <c r="F1142" t="s">
        <v>39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70.8</v>
      </c>
    </row>
    <row r="1143" spans="1:16">
      <c r="A1143" t="s">
        <v>1233</v>
      </c>
      <c r="B1143" s="2">
        <v>45722</v>
      </c>
      <c r="C1143" t="s">
        <v>723</v>
      </c>
      <c r="D1143" t="s">
        <v>28</v>
      </c>
      <c r="E1143" t="s">
        <v>24</v>
      </c>
      <c r="F1143" t="s">
        <v>29</v>
      </c>
      <c r="G1143" t="s">
        <v>21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1</v>
      </c>
      <c r="N1143">
        <v>0</v>
      </c>
      <c r="P1143">
        <v>58</v>
      </c>
    </row>
    <row r="1144" spans="1:16">
      <c r="A1144" t="s">
        <v>1234</v>
      </c>
      <c r="B1144" s="2">
        <v>45750</v>
      </c>
      <c r="C1144" t="s">
        <v>723</v>
      </c>
      <c r="D1144" t="s">
        <v>23</v>
      </c>
      <c r="E1144" t="s">
        <v>24</v>
      </c>
      <c r="F1144" t="s">
        <v>25</v>
      </c>
      <c r="G1144" t="s">
        <v>21</v>
      </c>
      <c r="H1144">
        <v>1</v>
      </c>
      <c r="I1144">
        <v>1</v>
      </c>
      <c r="J1144">
        <v>1</v>
      </c>
      <c r="K1144">
        <v>0</v>
      </c>
      <c r="L1144">
        <v>0</v>
      </c>
      <c r="M1144">
        <v>1</v>
      </c>
      <c r="N1144">
        <v>0</v>
      </c>
      <c r="P1144">
        <v>70.8</v>
      </c>
    </row>
    <row r="1145" spans="1:16">
      <c r="A1145" t="s">
        <v>1235</v>
      </c>
      <c r="B1145" s="2">
        <v>45689</v>
      </c>
      <c r="C1145" t="s">
        <v>723</v>
      </c>
      <c r="D1145" t="s">
        <v>28</v>
      </c>
      <c r="E1145" t="s">
        <v>19</v>
      </c>
      <c r="F1145" t="s">
        <v>29</v>
      </c>
      <c r="G1145" t="s">
        <v>26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3</v>
      </c>
      <c r="N1145">
        <v>0</v>
      </c>
      <c r="P1145">
        <v>60</v>
      </c>
    </row>
    <row r="1146" spans="1:16">
      <c r="A1146" t="s">
        <v>1236</v>
      </c>
      <c r="B1146" s="2">
        <v>45778</v>
      </c>
      <c r="C1146" t="s">
        <v>723</v>
      </c>
      <c r="D1146" t="s">
        <v>23</v>
      </c>
      <c r="E1146" t="s">
        <v>24</v>
      </c>
      <c r="F1146" t="s">
        <v>39</v>
      </c>
      <c r="G1146" t="s">
        <v>30</v>
      </c>
      <c r="H1146">
        <v>1</v>
      </c>
      <c r="I1146">
        <v>1</v>
      </c>
      <c r="J1146">
        <v>1</v>
      </c>
      <c r="K1146">
        <v>0</v>
      </c>
      <c r="L1146">
        <v>0</v>
      </c>
      <c r="M1146">
        <v>3</v>
      </c>
      <c r="N1146">
        <v>0</v>
      </c>
      <c r="P1146">
        <v>58.1</v>
      </c>
    </row>
    <row r="1147" spans="1:16">
      <c r="A1147" t="s">
        <v>1237</v>
      </c>
      <c r="B1147" s="2">
        <v>45760</v>
      </c>
      <c r="C1147" t="s">
        <v>723</v>
      </c>
      <c r="D1147" t="s">
        <v>18</v>
      </c>
      <c r="E1147" t="s">
        <v>24</v>
      </c>
      <c r="F1147" t="s">
        <v>41</v>
      </c>
      <c r="G1147" t="s">
        <v>30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59.7</v>
      </c>
    </row>
    <row r="1148" spans="1:16">
      <c r="A1148" t="s">
        <v>1238</v>
      </c>
      <c r="B1148" s="2">
        <v>45682</v>
      </c>
      <c r="C1148" t="s">
        <v>723</v>
      </c>
      <c r="D1148" t="s">
        <v>28</v>
      </c>
      <c r="E1148" t="s">
        <v>24</v>
      </c>
      <c r="F1148" t="s">
        <v>41</v>
      </c>
      <c r="G1148" t="s">
        <v>26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47.7</v>
      </c>
    </row>
    <row r="1149" spans="1:16">
      <c r="A1149" t="s">
        <v>1239</v>
      </c>
      <c r="B1149" s="2">
        <v>45733</v>
      </c>
      <c r="C1149" t="s">
        <v>723</v>
      </c>
      <c r="D1149" t="s">
        <v>18</v>
      </c>
      <c r="E1149" t="s">
        <v>24</v>
      </c>
      <c r="F1149" t="s">
        <v>25</v>
      </c>
      <c r="G1149" t="s">
        <v>26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59.1</v>
      </c>
    </row>
    <row r="1150" spans="1:16">
      <c r="A1150" t="s">
        <v>1240</v>
      </c>
      <c r="B1150" s="2">
        <v>45709</v>
      </c>
      <c r="C1150" t="s">
        <v>723</v>
      </c>
      <c r="D1150" t="s">
        <v>23</v>
      </c>
      <c r="E1150" t="s">
        <v>19</v>
      </c>
      <c r="F1150" t="s">
        <v>41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68.7</v>
      </c>
    </row>
    <row r="1151" spans="1:16">
      <c r="A1151" t="s">
        <v>1241</v>
      </c>
      <c r="B1151" s="2">
        <v>45755</v>
      </c>
      <c r="C1151" t="s">
        <v>723</v>
      </c>
      <c r="D1151" t="s">
        <v>28</v>
      </c>
      <c r="E1151" t="s">
        <v>34</v>
      </c>
      <c r="F1151" t="s">
        <v>25</v>
      </c>
      <c r="G1151" t="s">
        <v>21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34.700000000000003</v>
      </c>
    </row>
    <row r="1152" spans="1:16">
      <c r="A1152" t="s">
        <v>1242</v>
      </c>
      <c r="B1152" s="2">
        <v>45712</v>
      </c>
      <c r="C1152" t="s">
        <v>723</v>
      </c>
      <c r="D1152" t="s">
        <v>23</v>
      </c>
      <c r="E1152" t="s">
        <v>24</v>
      </c>
      <c r="F1152" t="s">
        <v>25</v>
      </c>
      <c r="G1152" t="s">
        <v>21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62</v>
      </c>
    </row>
    <row r="1153" spans="1:16">
      <c r="A1153" t="s">
        <v>1243</v>
      </c>
      <c r="B1153" s="2">
        <v>45806</v>
      </c>
      <c r="C1153" t="s">
        <v>723</v>
      </c>
      <c r="D1153" t="s">
        <v>32</v>
      </c>
      <c r="E1153" t="s">
        <v>24</v>
      </c>
      <c r="F1153" t="s">
        <v>25</v>
      </c>
      <c r="G1153" t="s">
        <v>26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P1153">
        <v>56</v>
      </c>
    </row>
    <row r="1154" spans="1:16">
      <c r="A1154" t="s">
        <v>1244</v>
      </c>
      <c r="B1154" s="2">
        <v>45807</v>
      </c>
      <c r="C1154" t="s">
        <v>723</v>
      </c>
      <c r="D1154" t="s">
        <v>18</v>
      </c>
      <c r="E1154" t="s">
        <v>24</v>
      </c>
      <c r="F1154" t="s">
        <v>20</v>
      </c>
      <c r="G1154" t="s">
        <v>21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P1154">
        <v>65.8</v>
      </c>
    </row>
    <row r="1155" spans="1:16">
      <c r="A1155" t="s">
        <v>1245</v>
      </c>
      <c r="B1155" s="2">
        <v>45681</v>
      </c>
      <c r="C1155" t="s">
        <v>723</v>
      </c>
      <c r="D1155" t="s">
        <v>18</v>
      </c>
      <c r="E1155" t="s">
        <v>19</v>
      </c>
      <c r="F1155" t="s">
        <v>25</v>
      </c>
      <c r="G1155" t="s">
        <v>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54.7</v>
      </c>
    </row>
    <row r="1156" spans="1:16">
      <c r="A1156" t="s">
        <v>1246</v>
      </c>
      <c r="B1156" s="2">
        <v>45789</v>
      </c>
      <c r="C1156" t="s">
        <v>723</v>
      </c>
      <c r="D1156" t="s">
        <v>32</v>
      </c>
      <c r="E1156" t="s">
        <v>24</v>
      </c>
      <c r="F1156" t="s">
        <v>25</v>
      </c>
      <c r="G1156" t="s">
        <v>21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64.099999999999994</v>
      </c>
    </row>
    <row r="1157" spans="1:16">
      <c r="A1157" t="s">
        <v>1247</v>
      </c>
      <c r="B1157" s="2">
        <v>45744</v>
      </c>
      <c r="C1157" t="s">
        <v>723</v>
      </c>
      <c r="D1157" t="s">
        <v>32</v>
      </c>
      <c r="E1157" t="s">
        <v>24</v>
      </c>
      <c r="F1157" t="s">
        <v>25</v>
      </c>
      <c r="G1157" t="s">
        <v>21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P1157">
        <v>71.599999999999994</v>
      </c>
    </row>
    <row r="1158" spans="1:16">
      <c r="A1158" t="s">
        <v>1248</v>
      </c>
      <c r="B1158" s="2">
        <v>45761</v>
      </c>
      <c r="C1158" t="s">
        <v>723</v>
      </c>
      <c r="D1158" t="s">
        <v>18</v>
      </c>
      <c r="E1158" t="s">
        <v>24</v>
      </c>
      <c r="F1158" t="s">
        <v>39</v>
      </c>
      <c r="G1158" t="s">
        <v>21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78.400000000000006</v>
      </c>
    </row>
    <row r="1159" spans="1:16">
      <c r="A1159" t="s">
        <v>1249</v>
      </c>
      <c r="B1159" s="2">
        <v>45685</v>
      </c>
      <c r="C1159" t="s">
        <v>723</v>
      </c>
      <c r="D1159" t="s">
        <v>28</v>
      </c>
      <c r="E1159" t="s">
        <v>34</v>
      </c>
      <c r="F1159" t="s">
        <v>39</v>
      </c>
      <c r="G1159" t="s">
        <v>21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49.3</v>
      </c>
    </row>
    <row r="1160" spans="1:16">
      <c r="A1160" t="s">
        <v>1250</v>
      </c>
      <c r="B1160" s="2">
        <v>45798</v>
      </c>
      <c r="C1160" t="s">
        <v>723</v>
      </c>
      <c r="D1160" t="s">
        <v>18</v>
      </c>
      <c r="E1160" t="s">
        <v>24</v>
      </c>
      <c r="F1160" t="s">
        <v>25</v>
      </c>
      <c r="G1160" t="s">
        <v>21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52.8</v>
      </c>
    </row>
    <row r="1161" spans="1:16">
      <c r="A1161" t="s">
        <v>1251</v>
      </c>
      <c r="B1161" s="2">
        <v>45788</v>
      </c>
      <c r="C1161" t="s">
        <v>723</v>
      </c>
      <c r="D1161" t="s">
        <v>23</v>
      </c>
      <c r="E1161" t="s">
        <v>19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58.5</v>
      </c>
    </row>
    <row r="1162" spans="1:16">
      <c r="A1162" t="s">
        <v>1252</v>
      </c>
      <c r="B1162" s="2">
        <v>45690</v>
      </c>
      <c r="C1162" t="s">
        <v>723</v>
      </c>
      <c r="D1162" t="s">
        <v>32</v>
      </c>
      <c r="E1162" t="s">
        <v>24</v>
      </c>
      <c r="F1162" t="s">
        <v>29</v>
      </c>
      <c r="G1162" t="s">
        <v>26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55.9</v>
      </c>
    </row>
    <row r="1163" spans="1:16">
      <c r="A1163" t="s">
        <v>1255</v>
      </c>
      <c r="B1163" s="2">
        <v>45725</v>
      </c>
      <c r="C1163" t="s">
        <v>723</v>
      </c>
      <c r="D1163" t="s">
        <v>23</v>
      </c>
      <c r="E1163" t="s">
        <v>24</v>
      </c>
      <c r="F1163" t="s">
        <v>25</v>
      </c>
      <c r="G1163" t="s">
        <v>26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63.5</v>
      </c>
    </row>
    <row r="1164" spans="1:16">
      <c r="A1164" t="s">
        <v>1256</v>
      </c>
      <c r="B1164" s="2">
        <v>45695</v>
      </c>
      <c r="C1164" t="s">
        <v>723</v>
      </c>
      <c r="D1164" t="s">
        <v>18</v>
      </c>
      <c r="E1164" t="s">
        <v>24</v>
      </c>
      <c r="F1164" t="s">
        <v>29</v>
      </c>
      <c r="G1164" t="s">
        <v>21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64.8</v>
      </c>
    </row>
    <row r="1165" spans="1:16">
      <c r="A1165" t="s">
        <v>1257</v>
      </c>
      <c r="B1165" s="2">
        <v>45688</v>
      </c>
      <c r="C1165" t="s">
        <v>723</v>
      </c>
      <c r="D1165" t="s">
        <v>23</v>
      </c>
      <c r="E1165" t="s">
        <v>24</v>
      </c>
      <c r="F1165" t="s">
        <v>41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P1165">
        <v>63.3</v>
      </c>
    </row>
    <row r="1166" spans="1:16">
      <c r="A1166" t="s">
        <v>1259</v>
      </c>
      <c r="B1166" s="2">
        <v>45700</v>
      </c>
      <c r="C1166" t="s">
        <v>723</v>
      </c>
      <c r="D1166" t="s">
        <v>32</v>
      </c>
      <c r="E1166" t="s">
        <v>19</v>
      </c>
      <c r="F1166" t="s">
        <v>41</v>
      </c>
      <c r="G1166" t="s">
        <v>21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88.7</v>
      </c>
    </row>
    <row r="1167" spans="1:16">
      <c r="A1167" t="s">
        <v>1260</v>
      </c>
      <c r="B1167" s="2">
        <v>45739</v>
      </c>
      <c r="C1167" t="s">
        <v>723</v>
      </c>
      <c r="D1167" t="s">
        <v>28</v>
      </c>
      <c r="F1167" t="s">
        <v>29</v>
      </c>
      <c r="G1167" t="s">
        <v>26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61.5</v>
      </c>
    </row>
    <row r="1168" spans="1:16">
      <c r="A1168" t="s">
        <v>1261</v>
      </c>
      <c r="B1168" s="2">
        <v>45734</v>
      </c>
      <c r="C1168" t="s">
        <v>723</v>
      </c>
      <c r="D1168" t="s">
        <v>23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45.3</v>
      </c>
    </row>
    <row r="1169" spans="1:16">
      <c r="A1169" t="s">
        <v>1262</v>
      </c>
      <c r="B1169" s="2">
        <v>45794</v>
      </c>
      <c r="C1169" t="s">
        <v>723</v>
      </c>
      <c r="D1169" t="s">
        <v>18</v>
      </c>
      <c r="E1169" t="s">
        <v>24</v>
      </c>
      <c r="F1169" t="s">
        <v>41</v>
      </c>
      <c r="G1169" t="s">
        <v>26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P1169">
        <v>37.299999999999997</v>
      </c>
    </row>
    <row r="1170" spans="1:16">
      <c r="A1170" t="s">
        <v>1263</v>
      </c>
      <c r="B1170" s="2">
        <v>45742</v>
      </c>
      <c r="C1170" t="s">
        <v>723</v>
      </c>
      <c r="D1170" t="s">
        <v>23</v>
      </c>
      <c r="E1170" t="s">
        <v>19</v>
      </c>
      <c r="F1170" t="s">
        <v>41</v>
      </c>
      <c r="G1170" t="s">
        <v>30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76.099999999999994</v>
      </c>
    </row>
    <row r="1171" spans="1:16">
      <c r="A1171" t="s">
        <v>1264</v>
      </c>
      <c r="B1171" s="2">
        <v>45746</v>
      </c>
      <c r="C1171" t="s">
        <v>723</v>
      </c>
      <c r="D1171" t="s">
        <v>28</v>
      </c>
      <c r="E1171" t="s">
        <v>24</v>
      </c>
      <c r="F1171" t="s">
        <v>25</v>
      </c>
      <c r="G1171" t="s">
        <v>26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1</v>
      </c>
      <c r="N1171">
        <v>0</v>
      </c>
      <c r="P1171">
        <v>72.5</v>
      </c>
    </row>
    <row r="1172" spans="1:16">
      <c r="A1172" t="s">
        <v>1265</v>
      </c>
      <c r="B1172" s="2">
        <v>45713</v>
      </c>
      <c r="C1172" t="s">
        <v>723</v>
      </c>
      <c r="D1172" t="s">
        <v>28</v>
      </c>
      <c r="E1172" t="s">
        <v>19</v>
      </c>
      <c r="F1172" t="s">
        <v>25</v>
      </c>
      <c r="G1172" t="s">
        <v>26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62.3</v>
      </c>
    </row>
    <row r="1173" spans="1:16">
      <c r="A1173" t="s">
        <v>1266</v>
      </c>
      <c r="B1173" s="2">
        <v>45717</v>
      </c>
      <c r="C1173" t="s">
        <v>723</v>
      </c>
      <c r="D1173" t="s">
        <v>28</v>
      </c>
      <c r="E1173" t="s">
        <v>19</v>
      </c>
      <c r="F1173" t="s">
        <v>41</v>
      </c>
      <c r="G1173" t="s">
        <v>26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62.7</v>
      </c>
    </row>
    <row r="1174" spans="1:16">
      <c r="A1174" t="s">
        <v>1267</v>
      </c>
      <c r="B1174" s="2">
        <v>45804</v>
      </c>
      <c r="C1174" t="s">
        <v>723</v>
      </c>
      <c r="D1174" t="s">
        <v>18</v>
      </c>
      <c r="E1174" t="s">
        <v>24</v>
      </c>
      <c r="F1174" t="s">
        <v>29</v>
      </c>
      <c r="G1174" t="s">
        <v>21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82.4</v>
      </c>
    </row>
    <row r="1175" spans="1:16">
      <c r="A1175" t="s">
        <v>1268</v>
      </c>
      <c r="B1175" s="2">
        <v>45693</v>
      </c>
      <c r="C1175" t="s">
        <v>723</v>
      </c>
      <c r="D1175" t="s">
        <v>23</v>
      </c>
      <c r="E1175" t="s">
        <v>24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78.900000000000006</v>
      </c>
    </row>
    <row r="1176" spans="1:16">
      <c r="A1176" t="s">
        <v>1270</v>
      </c>
      <c r="B1176" s="2">
        <v>45757</v>
      </c>
      <c r="C1176" t="s">
        <v>723</v>
      </c>
      <c r="D1176" t="s">
        <v>28</v>
      </c>
      <c r="E1176" t="s">
        <v>24</v>
      </c>
      <c r="F1176" t="s">
        <v>25</v>
      </c>
      <c r="G1176" t="s">
        <v>30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68.8</v>
      </c>
    </row>
    <row r="1177" spans="1:16">
      <c r="A1177" t="s">
        <v>1271</v>
      </c>
      <c r="B1177" s="2">
        <v>45667</v>
      </c>
      <c r="C1177" t="s">
        <v>723</v>
      </c>
      <c r="D1177" t="s">
        <v>28</v>
      </c>
      <c r="E1177" t="s">
        <v>24</v>
      </c>
      <c r="F1177" t="s">
        <v>25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67.7</v>
      </c>
    </row>
    <row r="1178" spans="1:16">
      <c r="A1178" t="s">
        <v>1272</v>
      </c>
      <c r="B1178" s="2">
        <v>45711</v>
      </c>
      <c r="C1178" t="s">
        <v>723</v>
      </c>
      <c r="D1178" t="s">
        <v>28</v>
      </c>
      <c r="E1178" t="s">
        <v>24</v>
      </c>
      <c r="G1178" t="s">
        <v>26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88</v>
      </c>
    </row>
    <row r="1179" spans="1:16">
      <c r="A1179" t="s">
        <v>1273</v>
      </c>
      <c r="B1179" s="2">
        <v>45800</v>
      </c>
      <c r="C1179" t="s">
        <v>723</v>
      </c>
      <c r="D1179" t="s">
        <v>23</v>
      </c>
      <c r="E1179" t="s">
        <v>19</v>
      </c>
      <c r="F1179" t="s">
        <v>25</v>
      </c>
      <c r="G1179" t="s">
        <v>21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80.099999999999994</v>
      </c>
    </row>
    <row r="1180" spans="1:16">
      <c r="A1180" t="s">
        <v>1274</v>
      </c>
      <c r="B1180" s="2">
        <v>45724</v>
      </c>
      <c r="C1180" t="s">
        <v>723</v>
      </c>
      <c r="D1180" t="s">
        <v>18</v>
      </c>
      <c r="E1180" t="s">
        <v>34</v>
      </c>
      <c r="F1180" t="s">
        <v>20</v>
      </c>
      <c r="G1180" t="s">
        <v>21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P1180">
        <v>48.2</v>
      </c>
    </row>
    <row r="1181" spans="1:16">
      <c r="A1181" t="s">
        <v>1275</v>
      </c>
      <c r="B1181" s="2">
        <v>45798</v>
      </c>
      <c r="C1181" t="s">
        <v>723</v>
      </c>
      <c r="D1181" t="s">
        <v>28</v>
      </c>
      <c r="E1181" t="s">
        <v>24</v>
      </c>
      <c r="F1181" t="s">
        <v>25</v>
      </c>
      <c r="G1181" t="s">
        <v>21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52.7</v>
      </c>
    </row>
    <row r="1182" spans="1:16">
      <c r="A1182" t="s">
        <v>1276</v>
      </c>
      <c r="B1182" s="2">
        <v>45769</v>
      </c>
      <c r="C1182" t="s">
        <v>723</v>
      </c>
      <c r="D1182" t="s">
        <v>18</v>
      </c>
      <c r="E1182" t="s">
        <v>24</v>
      </c>
      <c r="F1182" t="s">
        <v>20</v>
      </c>
      <c r="G1182" t="s">
        <v>21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59.9</v>
      </c>
    </row>
    <row r="1183" spans="1:16">
      <c r="A1183" t="s">
        <v>1277</v>
      </c>
      <c r="B1183" s="2">
        <v>45763</v>
      </c>
      <c r="C1183" t="s">
        <v>723</v>
      </c>
      <c r="D1183" t="s">
        <v>18</v>
      </c>
      <c r="E1183" t="s">
        <v>24</v>
      </c>
      <c r="F1183" t="s">
        <v>20</v>
      </c>
      <c r="G1183" t="s">
        <v>30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49.5</v>
      </c>
    </row>
    <row r="1184" spans="1:16">
      <c r="A1184" t="s">
        <v>1278</v>
      </c>
      <c r="B1184" s="2">
        <v>45785</v>
      </c>
      <c r="C1184" t="s">
        <v>723</v>
      </c>
      <c r="D1184" t="s">
        <v>18</v>
      </c>
      <c r="E1184" t="s">
        <v>34</v>
      </c>
      <c r="F1184" t="s">
        <v>25</v>
      </c>
      <c r="G1184" t="s">
        <v>26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41.5</v>
      </c>
    </row>
    <row r="1185" spans="1:16">
      <c r="A1185" t="s">
        <v>1279</v>
      </c>
      <c r="B1185" s="2">
        <v>45799</v>
      </c>
      <c r="C1185" t="s">
        <v>723</v>
      </c>
      <c r="D1185" t="s">
        <v>18</v>
      </c>
      <c r="E1185" t="s">
        <v>24</v>
      </c>
      <c r="F1185" t="s">
        <v>29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71.2</v>
      </c>
    </row>
    <row r="1186" spans="1:16">
      <c r="A1186" t="s">
        <v>1280</v>
      </c>
      <c r="B1186" s="2">
        <v>45737</v>
      </c>
      <c r="C1186" t="s">
        <v>723</v>
      </c>
      <c r="D1186" t="s">
        <v>18</v>
      </c>
      <c r="E1186" t="s">
        <v>24</v>
      </c>
      <c r="F1186" t="s">
        <v>39</v>
      </c>
      <c r="G1186" t="s">
        <v>21</v>
      </c>
      <c r="H1186">
        <v>1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P1186">
        <v>65.8</v>
      </c>
    </row>
    <row r="1187" spans="1:16">
      <c r="A1187" t="s">
        <v>1281</v>
      </c>
      <c r="B1187" s="2">
        <v>45738</v>
      </c>
      <c r="C1187" t="s">
        <v>723</v>
      </c>
      <c r="D1187" t="s">
        <v>28</v>
      </c>
      <c r="E1187" t="s">
        <v>24</v>
      </c>
      <c r="F1187" t="s">
        <v>25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P1187">
        <v>55.1</v>
      </c>
    </row>
    <row r="1188" spans="1:16">
      <c r="A1188" t="s">
        <v>1282</v>
      </c>
      <c r="B1188" s="2">
        <v>45667</v>
      </c>
      <c r="C1188" t="s">
        <v>723</v>
      </c>
      <c r="D1188" t="s">
        <v>23</v>
      </c>
      <c r="E1188" t="s">
        <v>19</v>
      </c>
      <c r="F1188" t="s">
        <v>41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54.6</v>
      </c>
    </row>
    <row r="1189" spans="1:16">
      <c r="A1189" t="s">
        <v>1284</v>
      </c>
      <c r="B1189" s="2">
        <v>45747</v>
      </c>
      <c r="C1189" t="s">
        <v>723</v>
      </c>
      <c r="D1189" t="s">
        <v>32</v>
      </c>
      <c r="E1189" t="s">
        <v>24</v>
      </c>
      <c r="F1189" t="s">
        <v>29</v>
      </c>
      <c r="G1189" t="s">
        <v>21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3</v>
      </c>
      <c r="N1189">
        <v>0</v>
      </c>
      <c r="P1189">
        <v>63.2</v>
      </c>
    </row>
    <row r="1190" spans="1:16">
      <c r="A1190" t="s">
        <v>1285</v>
      </c>
      <c r="B1190" s="2">
        <v>45772</v>
      </c>
      <c r="C1190" t="s">
        <v>723</v>
      </c>
      <c r="D1190" t="s">
        <v>18</v>
      </c>
      <c r="E1190" t="s">
        <v>24</v>
      </c>
      <c r="F1190" t="s">
        <v>29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55.4</v>
      </c>
    </row>
    <row r="1191" spans="1:16">
      <c r="A1191" t="s">
        <v>1286</v>
      </c>
      <c r="B1191" s="2">
        <v>45779</v>
      </c>
      <c r="C1191" t="s">
        <v>723</v>
      </c>
      <c r="D1191" t="s">
        <v>23</v>
      </c>
      <c r="E1191" t="s">
        <v>24</v>
      </c>
      <c r="F1191" t="s">
        <v>41</v>
      </c>
      <c r="G1191" t="s">
        <v>21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87.5</v>
      </c>
    </row>
    <row r="1192" spans="1:16">
      <c r="A1192" t="s">
        <v>1287</v>
      </c>
      <c r="B1192" s="2">
        <v>45724</v>
      </c>
      <c r="C1192" t="s">
        <v>723</v>
      </c>
      <c r="D1192" t="s">
        <v>32</v>
      </c>
      <c r="E1192" t="s">
        <v>19</v>
      </c>
      <c r="F1192" t="s">
        <v>41</v>
      </c>
      <c r="G1192" t="s">
        <v>21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48.5</v>
      </c>
    </row>
    <row r="1193" spans="1:16">
      <c r="A1193" t="s">
        <v>1289</v>
      </c>
      <c r="B1193" s="2">
        <v>45774</v>
      </c>
      <c r="C1193" t="s">
        <v>723</v>
      </c>
      <c r="D1193" t="s">
        <v>23</v>
      </c>
      <c r="E1193" t="s">
        <v>24</v>
      </c>
      <c r="F1193" t="s">
        <v>29</v>
      </c>
      <c r="G1193" t="s">
        <v>26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59.5</v>
      </c>
    </row>
    <row r="1194" spans="1:16">
      <c r="A1194" t="s">
        <v>1290</v>
      </c>
      <c r="B1194" s="2">
        <v>45673</v>
      </c>
      <c r="C1194" t="s">
        <v>723</v>
      </c>
      <c r="D1194" t="s">
        <v>23</v>
      </c>
      <c r="E1194" t="s">
        <v>19</v>
      </c>
      <c r="F1194" t="s">
        <v>29</v>
      </c>
      <c r="G1194" t="s">
        <v>21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93.2</v>
      </c>
    </row>
    <row r="1195" spans="1:16">
      <c r="A1195" t="s">
        <v>1291</v>
      </c>
      <c r="B1195" s="2">
        <v>45675</v>
      </c>
      <c r="C1195" t="s">
        <v>723</v>
      </c>
      <c r="D1195" t="s">
        <v>23</v>
      </c>
      <c r="E1195" t="s">
        <v>19</v>
      </c>
      <c r="F1195" t="s">
        <v>29</v>
      </c>
      <c r="G1195" t="s">
        <v>21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59</v>
      </c>
    </row>
    <row r="1196" spans="1:16">
      <c r="A1196" t="s">
        <v>1292</v>
      </c>
      <c r="B1196" s="2">
        <v>45737</v>
      </c>
      <c r="C1196" t="s">
        <v>723</v>
      </c>
      <c r="D1196" t="s">
        <v>18</v>
      </c>
      <c r="E1196" t="s">
        <v>24</v>
      </c>
      <c r="F1196" t="s">
        <v>25</v>
      </c>
      <c r="G1196" t="s">
        <v>26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37</v>
      </c>
    </row>
    <row r="1197" spans="1:16">
      <c r="A1197" t="s">
        <v>1293</v>
      </c>
      <c r="B1197" s="2">
        <v>45749</v>
      </c>
      <c r="C1197" t="s">
        <v>723</v>
      </c>
      <c r="D1197" t="s">
        <v>18</v>
      </c>
      <c r="E1197" t="s">
        <v>19</v>
      </c>
      <c r="F1197" t="s">
        <v>29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P1197">
        <v>47.5</v>
      </c>
    </row>
    <row r="1198" spans="1:16">
      <c r="A1198" t="s">
        <v>1294</v>
      </c>
      <c r="B1198" s="2">
        <v>45704</v>
      </c>
      <c r="C1198" t="s">
        <v>723</v>
      </c>
      <c r="D1198" t="s">
        <v>23</v>
      </c>
      <c r="E1198" t="s">
        <v>19</v>
      </c>
      <c r="F1198" t="s">
        <v>25</v>
      </c>
      <c r="G1198" t="s">
        <v>26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P1198">
        <v>78.7</v>
      </c>
    </row>
    <row r="1199" spans="1:16">
      <c r="A1199" t="s">
        <v>1295</v>
      </c>
      <c r="B1199" s="2">
        <v>45706</v>
      </c>
      <c r="C1199" t="s">
        <v>723</v>
      </c>
      <c r="D1199" t="s">
        <v>18</v>
      </c>
      <c r="E1199" t="s">
        <v>24</v>
      </c>
      <c r="F1199" t="s">
        <v>41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P1199">
        <v>49.6</v>
      </c>
    </row>
    <row r="1200" spans="1:16">
      <c r="A1200" t="s">
        <v>1296</v>
      </c>
      <c r="B1200" s="2">
        <v>45666</v>
      </c>
      <c r="C1200" t="s">
        <v>723</v>
      </c>
      <c r="D1200" t="s">
        <v>28</v>
      </c>
      <c r="E1200" t="s">
        <v>24</v>
      </c>
      <c r="F1200" t="s">
        <v>25</v>
      </c>
      <c r="G1200" t="s">
        <v>26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58</v>
      </c>
    </row>
    <row r="1201" spans="1:16">
      <c r="A1201" t="s">
        <v>1297</v>
      </c>
      <c r="B1201" s="2">
        <v>45706</v>
      </c>
      <c r="C1201" t="s">
        <v>723</v>
      </c>
      <c r="D1201" t="s">
        <v>18</v>
      </c>
      <c r="E1201" t="s">
        <v>19</v>
      </c>
      <c r="F1201" t="s">
        <v>29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P1201">
        <v>54.4</v>
      </c>
    </row>
    <row r="1202" spans="1:16">
      <c r="A1202" t="s">
        <v>1298</v>
      </c>
      <c r="B1202" s="2">
        <v>45667</v>
      </c>
      <c r="C1202" t="s">
        <v>723</v>
      </c>
      <c r="D1202" t="s">
        <v>28</v>
      </c>
      <c r="E1202" t="s">
        <v>24</v>
      </c>
      <c r="F1202" t="s">
        <v>39</v>
      </c>
      <c r="G1202" t="s">
        <v>26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P1202">
        <v>33.700000000000003</v>
      </c>
    </row>
    <row r="1203" spans="1:16">
      <c r="A1203" t="s">
        <v>1299</v>
      </c>
      <c r="B1203" s="2">
        <v>45724</v>
      </c>
      <c r="C1203" t="s">
        <v>723</v>
      </c>
      <c r="D1203" t="s">
        <v>23</v>
      </c>
      <c r="E1203" t="s">
        <v>24</v>
      </c>
      <c r="F1203" t="s">
        <v>20</v>
      </c>
      <c r="G1203" t="s">
        <v>26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72.7</v>
      </c>
    </row>
    <row r="1204" spans="1:16">
      <c r="A1204" t="s">
        <v>1300</v>
      </c>
      <c r="B1204" s="2">
        <v>45763</v>
      </c>
      <c r="C1204" t="s">
        <v>723</v>
      </c>
      <c r="D1204" t="s">
        <v>28</v>
      </c>
      <c r="E1204" t="s">
        <v>19</v>
      </c>
      <c r="F1204" t="s">
        <v>29</v>
      </c>
      <c r="G1204" t="s">
        <v>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64.7</v>
      </c>
    </row>
    <row r="1205" spans="1:16">
      <c r="A1205" t="s">
        <v>1301</v>
      </c>
      <c r="B1205" s="2">
        <v>45707</v>
      </c>
      <c r="C1205" t="s">
        <v>723</v>
      </c>
      <c r="D1205" t="s">
        <v>23</v>
      </c>
      <c r="E1205" t="s">
        <v>19</v>
      </c>
      <c r="F1205" t="s">
        <v>29</v>
      </c>
      <c r="G1205" t="s">
        <v>30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P1205">
        <v>48.6</v>
      </c>
    </row>
    <row r="1206" spans="1:16">
      <c r="A1206" t="s">
        <v>1302</v>
      </c>
      <c r="B1206" s="2">
        <v>45732</v>
      </c>
      <c r="C1206" t="s">
        <v>723</v>
      </c>
      <c r="D1206" t="s">
        <v>28</v>
      </c>
      <c r="E1206" t="s">
        <v>19</v>
      </c>
      <c r="F1206" t="s">
        <v>41</v>
      </c>
      <c r="G1206" t="s">
        <v>26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66.2</v>
      </c>
    </row>
    <row r="1207" spans="1:16">
      <c r="A1207" t="s">
        <v>1303</v>
      </c>
      <c r="B1207" s="2">
        <v>45691</v>
      </c>
      <c r="C1207" t="s">
        <v>723</v>
      </c>
      <c r="D1207" t="s">
        <v>23</v>
      </c>
      <c r="F1207" t="s">
        <v>39</v>
      </c>
      <c r="G1207" t="s">
        <v>21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P1207">
        <v>60.7</v>
      </c>
    </row>
    <row r="1208" spans="1:16">
      <c r="A1208" t="s">
        <v>1304</v>
      </c>
      <c r="B1208" s="2">
        <v>45728</v>
      </c>
      <c r="C1208" t="s">
        <v>723</v>
      </c>
      <c r="D1208" t="s">
        <v>23</v>
      </c>
      <c r="E1208" t="s">
        <v>24</v>
      </c>
      <c r="F1208" t="s">
        <v>29</v>
      </c>
      <c r="G1208" t="s">
        <v>21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36.5</v>
      </c>
    </row>
    <row r="1209" spans="1:16">
      <c r="A1209" t="s">
        <v>1305</v>
      </c>
      <c r="B1209" s="2">
        <v>45786</v>
      </c>
      <c r="C1209" t="s">
        <v>723</v>
      </c>
      <c r="D1209" t="s">
        <v>23</v>
      </c>
      <c r="E1209" t="s">
        <v>24</v>
      </c>
      <c r="F1209" t="s">
        <v>41</v>
      </c>
      <c r="G1209" t="s">
        <v>26</v>
      </c>
      <c r="H1209">
        <v>1</v>
      </c>
      <c r="I1209">
        <v>1</v>
      </c>
      <c r="J1209">
        <v>1</v>
      </c>
      <c r="K1209">
        <v>0</v>
      </c>
      <c r="L1209">
        <v>0</v>
      </c>
      <c r="M1209">
        <v>3</v>
      </c>
      <c r="N1209">
        <v>0</v>
      </c>
      <c r="P1209">
        <v>69.7</v>
      </c>
    </row>
    <row r="1210" spans="1:16">
      <c r="A1210" t="s">
        <v>1306</v>
      </c>
      <c r="B1210" s="2">
        <v>45676</v>
      </c>
      <c r="C1210" t="s">
        <v>723</v>
      </c>
      <c r="D1210" t="s">
        <v>32</v>
      </c>
      <c r="E1210" t="s">
        <v>19</v>
      </c>
      <c r="F1210" t="s">
        <v>41</v>
      </c>
      <c r="G1210" t="s">
        <v>30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81.8</v>
      </c>
    </row>
    <row r="1211" spans="1:16">
      <c r="A1211" t="s">
        <v>1307</v>
      </c>
      <c r="B1211" s="2">
        <v>45681</v>
      </c>
      <c r="C1211" t="s">
        <v>723</v>
      </c>
      <c r="D1211" t="s">
        <v>23</v>
      </c>
      <c r="E1211" t="s">
        <v>24</v>
      </c>
      <c r="F1211" t="s">
        <v>39</v>
      </c>
      <c r="G1211" t="s">
        <v>26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1</v>
      </c>
      <c r="N1211">
        <v>0</v>
      </c>
      <c r="P1211">
        <v>78.3</v>
      </c>
    </row>
    <row r="1212" spans="1:16">
      <c r="A1212" t="s">
        <v>1308</v>
      </c>
      <c r="B1212" s="2">
        <v>45719</v>
      </c>
      <c r="C1212" t="s">
        <v>723</v>
      </c>
      <c r="D1212" t="s">
        <v>28</v>
      </c>
      <c r="E1212" t="s">
        <v>24</v>
      </c>
      <c r="F1212" t="s">
        <v>39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79.400000000000006</v>
      </c>
    </row>
    <row r="1213" spans="1:16">
      <c r="A1213" t="s">
        <v>1309</v>
      </c>
      <c r="B1213" s="2">
        <v>45804</v>
      </c>
      <c r="C1213" t="s">
        <v>723</v>
      </c>
      <c r="D1213" t="s">
        <v>18</v>
      </c>
      <c r="E1213" t="s">
        <v>19</v>
      </c>
      <c r="F1213" t="s">
        <v>39</v>
      </c>
      <c r="G1213" t="s">
        <v>26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P1213">
        <v>54.9</v>
      </c>
    </row>
    <row r="1214" spans="1:16">
      <c r="A1214" t="s">
        <v>1310</v>
      </c>
      <c r="B1214" s="2">
        <v>45770</v>
      </c>
      <c r="C1214" t="s">
        <v>723</v>
      </c>
      <c r="D1214" t="s">
        <v>23</v>
      </c>
      <c r="E1214" t="s">
        <v>19</v>
      </c>
      <c r="F1214" t="s">
        <v>25</v>
      </c>
      <c r="G1214" t="s">
        <v>21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54.9</v>
      </c>
    </row>
    <row r="1215" spans="1:16">
      <c r="A1215" t="s">
        <v>1311</v>
      </c>
      <c r="B1215" s="2">
        <v>45698</v>
      </c>
      <c r="C1215" t="s">
        <v>723</v>
      </c>
      <c r="D1215" t="s">
        <v>28</v>
      </c>
      <c r="E1215" t="s">
        <v>19</v>
      </c>
      <c r="F1215" t="s">
        <v>41</v>
      </c>
      <c r="G1215" t="s">
        <v>26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28.7</v>
      </c>
    </row>
    <row r="1216" spans="1:16">
      <c r="A1216" t="s">
        <v>1312</v>
      </c>
      <c r="B1216" s="2">
        <v>45699</v>
      </c>
      <c r="C1216" t="s">
        <v>723</v>
      </c>
      <c r="D1216" t="s">
        <v>18</v>
      </c>
      <c r="E1216" t="s">
        <v>24</v>
      </c>
      <c r="F1216" t="s">
        <v>25</v>
      </c>
      <c r="G1216" t="s">
        <v>26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68.8</v>
      </c>
    </row>
    <row r="1217" spans="1:16">
      <c r="A1217" t="s">
        <v>1313</v>
      </c>
      <c r="B1217" s="2">
        <v>45678</v>
      </c>
      <c r="C1217" t="s">
        <v>723</v>
      </c>
      <c r="D1217" t="s">
        <v>28</v>
      </c>
      <c r="E1217" t="s">
        <v>19</v>
      </c>
      <c r="F1217" t="s">
        <v>29</v>
      </c>
      <c r="G1217" t="s">
        <v>26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P1217">
        <v>43.5</v>
      </c>
    </row>
    <row r="1218" spans="1:16">
      <c r="A1218" t="s">
        <v>1314</v>
      </c>
      <c r="B1218" s="2">
        <v>45690</v>
      </c>
      <c r="C1218" t="s">
        <v>723</v>
      </c>
      <c r="D1218" t="s">
        <v>23</v>
      </c>
      <c r="E1218" t="s">
        <v>19</v>
      </c>
      <c r="F1218" t="s">
        <v>41</v>
      </c>
      <c r="G1218" t="s">
        <v>26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62.6</v>
      </c>
    </row>
    <row r="1219" spans="1:16">
      <c r="A1219" t="s">
        <v>1315</v>
      </c>
      <c r="B1219" s="2">
        <v>45690</v>
      </c>
      <c r="C1219" t="s">
        <v>723</v>
      </c>
      <c r="D1219" t="s">
        <v>23</v>
      </c>
      <c r="E1219" t="s">
        <v>24</v>
      </c>
      <c r="F1219" t="s">
        <v>25</v>
      </c>
      <c r="G1219" t="s">
        <v>26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P1219">
        <v>54.1</v>
      </c>
    </row>
    <row r="1220" spans="1:16">
      <c r="A1220" t="s">
        <v>1316</v>
      </c>
      <c r="B1220" s="2">
        <v>45714</v>
      </c>
      <c r="C1220" t="s">
        <v>723</v>
      </c>
      <c r="D1220" t="s">
        <v>23</v>
      </c>
      <c r="E1220" t="s">
        <v>34</v>
      </c>
      <c r="F1220" t="s">
        <v>41</v>
      </c>
      <c r="G1220" t="s">
        <v>26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P1220">
        <v>80.099999999999994</v>
      </c>
    </row>
    <row r="1221" spans="1:16">
      <c r="A1221" t="s">
        <v>1317</v>
      </c>
      <c r="B1221" s="2">
        <v>45769</v>
      </c>
      <c r="C1221" t="s">
        <v>723</v>
      </c>
      <c r="D1221" t="s">
        <v>18</v>
      </c>
      <c r="E1221" t="s">
        <v>24</v>
      </c>
      <c r="F1221" t="s">
        <v>41</v>
      </c>
      <c r="G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69.5</v>
      </c>
    </row>
    <row r="1222" spans="1:16">
      <c r="A1222" t="s">
        <v>1318</v>
      </c>
      <c r="B1222" s="2">
        <v>45727</v>
      </c>
      <c r="C1222" t="s">
        <v>723</v>
      </c>
      <c r="D1222" t="s">
        <v>18</v>
      </c>
      <c r="E1222" t="s">
        <v>19</v>
      </c>
      <c r="F1222" t="s">
        <v>25</v>
      </c>
      <c r="G1222" t="s">
        <v>21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0</v>
      </c>
      <c r="P1222">
        <v>46.6</v>
      </c>
    </row>
    <row r="1223" spans="1:16">
      <c r="A1223" t="s">
        <v>1319</v>
      </c>
      <c r="B1223" s="2">
        <v>45785</v>
      </c>
      <c r="C1223" t="s">
        <v>723</v>
      </c>
      <c r="D1223" t="s">
        <v>32</v>
      </c>
      <c r="E1223" t="s">
        <v>24</v>
      </c>
      <c r="F1223" t="s">
        <v>25</v>
      </c>
      <c r="G1223" t="s">
        <v>30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P1223">
        <v>54.9</v>
      </c>
    </row>
    <row r="1224" spans="1:16">
      <c r="A1224" t="s">
        <v>1320</v>
      </c>
      <c r="B1224" s="2">
        <v>45726</v>
      </c>
      <c r="C1224" t="s">
        <v>723</v>
      </c>
      <c r="D1224" t="s">
        <v>28</v>
      </c>
      <c r="E1224" t="s">
        <v>19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100</v>
      </c>
    </row>
    <row r="1225" spans="1:16">
      <c r="A1225" t="s">
        <v>1321</v>
      </c>
      <c r="B1225" s="2">
        <v>45763</v>
      </c>
      <c r="C1225" t="s">
        <v>723</v>
      </c>
      <c r="D1225" t="s">
        <v>28</v>
      </c>
      <c r="E1225" t="s">
        <v>19</v>
      </c>
      <c r="F1225" t="s">
        <v>29</v>
      </c>
      <c r="G1225" t="s">
        <v>26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1</v>
      </c>
      <c r="N1225">
        <v>0</v>
      </c>
      <c r="P1225">
        <v>80.5</v>
      </c>
    </row>
    <row r="1226" spans="1:16">
      <c r="A1226" t="s">
        <v>1322</v>
      </c>
      <c r="B1226" s="2">
        <v>45717</v>
      </c>
      <c r="C1226" t="s">
        <v>723</v>
      </c>
      <c r="D1226" t="s">
        <v>23</v>
      </c>
      <c r="E1226" t="s">
        <v>34</v>
      </c>
      <c r="F1226" t="s">
        <v>25</v>
      </c>
      <c r="G1226" t="s">
        <v>21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51.2</v>
      </c>
    </row>
    <row r="1227" spans="1:16">
      <c r="A1227" t="s">
        <v>1323</v>
      </c>
      <c r="B1227" s="2">
        <v>45675</v>
      </c>
      <c r="C1227" t="s">
        <v>723</v>
      </c>
      <c r="D1227" t="s">
        <v>32</v>
      </c>
      <c r="E1227" t="s">
        <v>19</v>
      </c>
      <c r="F1227" t="s">
        <v>25</v>
      </c>
      <c r="G1227" t="s">
        <v>30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42.5</v>
      </c>
    </row>
    <row r="1228" spans="1:16">
      <c r="A1228" t="s">
        <v>1324</v>
      </c>
      <c r="B1228" s="2">
        <v>45746</v>
      </c>
      <c r="C1228" t="s">
        <v>723</v>
      </c>
      <c r="D1228" t="s">
        <v>18</v>
      </c>
      <c r="E1228" t="s">
        <v>24</v>
      </c>
      <c r="F1228" t="s">
        <v>29</v>
      </c>
      <c r="G1228" t="s">
        <v>26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72.5</v>
      </c>
    </row>
    <row r="1229" spans="1:16">
      <c r="A1229" t="s">
        <v>1325</v>
      </c>
      <c r="B1229" s="2">
        <v>45803</v>
      </c>
      <c r="C1229" t="s">
        <v>723</v>
      </c>
      <c r="D1229" t="s">
        <v>23</v>
      </c>
      <c r="E1229" t="s">
        <v>24</v>
      </c>
      <c r="F1229" t="s">
        <v>41</v>
      </c>
      <c r="G1229" t="s">
        <v>30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74.400000000000006</v>
      </c>
    </row>
    <row r="1230" spans="1:16">
      <c r="A1230" t="s">
        <v>1326</v>
      </c>
      <c r="B1230" s="2">
        <v>45735</v>
      </c>
      <c r="C1230" t="s">
        <v>723</v>
      </c>
      <c r="D1230" t="s">
        <v>28</v>
      </c>
      <c r="E1230" t="s">
        <v>19</v>
      </c>
      <c r="F1230" t="s">
        <v>41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78.400000000000006</v>
      </c>
    </row>
    <row r="1231" spans="1:16">
      <c r="A1231" t="s">
        <v>1327</v>
      </c>
      <c r="B1231" s="2">
        <v>45744</v>
      </c>
      <c r="C1231" t="s">
        <v>723</v>
      </c>
      <c r="D1231" t="s">
        <v>18</v>
      </c>
      <c r="E1231" t="s">
        <v>19</v>
      </c>
      <c r="F1231" t="s">
        <v>39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71.5</v>
      </c>
    </row>
    <row r="1232" spans="1:16">
      <c r="A1232" t="s">
        <v>1328</v>
      </c>
      <c r="B1232" s="2">
        <v>45805</v>
      </c>
      <c r="C1232" t="s">
        <v>723</v>
      </c>
      <c r="D1232" t="s">
        <v>32</v>
      </c>
      <c r="E1232" t="s">
        <v>19</v>
      </c>
      <c r="F1232" t="s">
        <v>41</v>
      </c>
      <c r="G1232" t="s">
        <v>26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66.7</v>
      </c>
    </row>
    <row r="1233" spans="1:16">
      <c r="A1233" t="s">
        <v>1330</v>
      </c>
      <c r="B1233" s="2">
        <v>45787</v>
      </c>
      <c r="C1233" t="s">
        <v>723</v>
      </c>
      <c r="D1233" t="s">
        <v>18</v>
      </c>
      <c r="E1233" t="s">
        <v>24</v>
      </c>
      <c r="F1233" t="s">
        <v>39</v>
      </c>
      <c r="G1233" t="s">
        <v>26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P1233">
        <v>72.900000000000006</v>
      </c>
    </row>
    <row r="1234" spans="1:16">
      <c r="A1234" t="s">
        <v>1331</v>
      </c>
      <c r="B1234" s="2">
        <v>45794</v>
      </c>
      <c r="C1234" t="s">
        <v>723</v>
      </c>
      <c r="D1234" t="s">
        <v>23</v>
      </c>
      <c r="E1234" t="s">
        <v>24</v>
      </c>
      <c r="F1234" t="s">
        <v>25</v>
      </c>
      <c r="G1234" t="s">
        <v>26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3</v>
      </c>
      <c r="N1234">
        <v>0</v>
      </c>
    </row>
    <row r="1235" spans="1:16">
      <c r="A1235" t="s">
        <v>1332</v>
      </c>
      <c r="B1235" s="2">
        <v>45675</v>
      </c>
      <c r="C1235" t="s">
        <v>723</v>
      </c>
      <c r="D1235" t="s">
        <v>32</v>
      </c>
      <c r="E1235" t="s">
        <v>24</v>
      </c>
      <c r="F1235" t="s">
        <v>25</v>
      </c>
      <c r="G1235" t="s">
        <v>30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55.2</v>
      </c>
    </row>
    <row r="1236" spans="1:16">
      <c r="A1236" t="s">
        <v>1333</v>
      </c>
      <c r="B1236" s="2">
        <v>45781</v>
      </c>
      <c r="C1236" t="s">
        <v>723</v>
      </c>
      <c r="D1236" t="s">
        <v>23</v>
      </c>
      <c r="E1236" t="s">
        <v>24</v>
      </c>
      <c r="F1236" t="s">
        <v>41</v>
      </c>
      <c r="G1236" t="s">
        <v>26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67.8</v>
      </c>
    </row>
    <row r="1237" spans="1:16">
      <c r="A1237" t="s">
        <v>1334</v>
      </c>
      <c r="B1237" s="2">
        <v>45741</v>
      </c>
      <c r="C1237" t="s">
        <v>723</v>
      </c>
      <c r="D1237" t="s">
        <v>18</v>
      </c>
      <c r="E1237" t="s">
        <v>24</v>
      </c>
      <c r="F1237" t="s">
        <v>25</v>
      </c>
      <c r="G1237" t="s">
        <v>26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2</v>
      </c>
      <c r="N1237">
        <v>0</v>
      </c>
      <c r="P1237">
        <v>70</v>
      </c>
    </row>
    <row r="1238" spans="1:16">
      <c r="A1238" t="s">
        <v>1335</v>
      </c>
      <c r="B1238" s="2">
        <v>45715</v>
      </c>
      <c r="C1238" t="s">
        <v>723</v>
      </c>
      <c r="D1238" t="s">
        <v>18</v>
      </c>
      <c r="E1238" t="s">
        <v>24</v>
      </c>
      <c r="F1238" t="s">
        <v>41</v>
      </c>
      <c r="G1238" t="s">
        <v>21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P1238">
        <v>51.1</v>
      </c>
    </row>
    <row r="1239" spans="1:16">
      <c r="A1239" t="s">
        <v>1336</v>
      </c>
      <c r="B1239" s="2">
        <v>45671</v>
      </c>
      <c r="C1239" t="s">
        <v>723</v>
      </c>
      <c r="D1239" t="s">
        <v>23</v>
      </c>
      <c r="E1239" t="s">
        <v>24</v>
      </c>
      <c r="F1239" t="s">
        <v>29</v>
      </c>
      <c r="G1239" t="s">
        <v>21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P1239">
        <v>57</v>
      </c>
    </row>
    <row r="1240" spans="1:16">
      <c r="A1240" t="s">
        <v>1337</v>
      </c>
      <c r="B1240" s="2">
        <v>45758</v>
      </c>
      <c r="C1240" t="s">
        <v>723</v>
      </c>
      <c r="D1240" t="s">
        <v>28</v>
      </c>
      <c r="E1240" t="s">
        <v>24</v>
      </c>
      <c r="F1240" t="s">
        <v>41</v>
      </c>
      <c r="G1240" t="s">
        <v>26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P1240">
        <v>47.1</v>
      </c>
    </row>
    <row r="1241" spans="1:16">
      <c r="A1241" t="s">
        <v>1338</v>
      </c>
      <c r="B1241" s="2">
        <v>45742</v>
      </c>
      <c r="C1241" t="s">
        <v>723</v>
      </c>
      <c r="D1241" t="s">
        <v>28</v>
      </c>
      <c r="E1241" t="s">
        <v>19</v>
      </c>
      <c r="F1241" t="s">
        <v>41</v>
      </c>
      <c r="G1241" t="s">
        <v>21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30.7</v>
      </c>
    </row>
    <row r="1242" spans="1:16">
      <c r="A1242" t="s">
        <v>1339</v>
      </c>
      <c r="B1242" s="2">
        <v>45700</v>
      </c>
      <c r="C1242" t="s">
        <v>723</v>
      </c>
      <c r="D1242" t="s">
        <v>23</v>
      </c>
      <c r="E1242" t="s">
        <v>19</v>
      </c>
      <c r="F1242" t="s">
        <v>41</v>
      </c>
      <c r="G1242" t="s">
        <v>26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57.3</v>
      </c>
    </row>
    <row r="1243" spans="1:16">
      <c r="A1243" t="s">
        <v>1340</v>
      </c>
      <c r="B1243" s="2">
        <v>45706</v>
      </c>
      <c r="C1243" t="s">
        <v>723</v>
      </c>
      <c r="D1243" t="s">
        <v>23</v>
      </c>
      <c r="E1243" t="s">
        <v>34</v>
      </c>
      <c r="F1243" t="s">
        <v>29</v>
      </c>
      <c r="G1243" t="s">
        <v>21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70</v>
      </c>
    </row>
    <row r="1244" spans="1:16">
      <c r="A1244" t="s">
        <v>1341</v>
      </c>
      <c r="B1244" s="2">
        <v>45802</v>
      </c>
      <c r="C1244" t="s">
        <v>723</v>
      </c>
      <c r="D1244" t="s">
        <v>28</v>
      </c>
      <c r="E1244" t="s">
        <v>19</v>
      </c>
      <c r="F1244" t="s">
        <v>41</v>
      </c>
      <c r="G1244" t="s">
        <v>26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P1244">
        <v>59.7</v>
      </c>
    </row>
    <row r="1245" spans="1:16">
      <c r="A1245" t="s">
        <v>1342</v>
      </c>
      <c r="B1245" s="2">
        <v>45800</v>
      </c>
      <c r="C1245" t="s">
        <v>723</v>
      </c>
      <c r="D1245" t="s">
        <v>28</v>
      </c>
      <c r="E1245" t="s">
        <v>19</v>
      </c>
      <c r="F1245" t="s">
        <v>29</v>
      </c>
      <c r="G1245" t="s">
        <v>21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68.8</v>
      </c>
    </row>
    <row r="1246" spans="1:16">
      <c r="A1246" t="s">
        <v>1344</v>
      </c>
      <c r="B1246" s="2">
        <v>45676</v>
      </c>
      <c r="C1246" t="s">
        <v>723</v>
      </c>
      <c r="D1246" t="s">
        <v>23</v>
      </c>
      <c r="E1246" t="s">
        <v>19</v>
      </c>
      <c r="F1246" t="s">
        <v>20</v>
      </c>
      <c r="G1246" t="s">
        <v>21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83.4</v>
      </c>
    </row>
    <row r="1247" spans="1:16">
      <c r="A1247" t="s">
        <v>1345</v>
      </c>
      <c r="B1247" s="2">
        <v>45795</v>
      </c>
      <c r="C1247" t="s">
        <v>723</v>
      </c>
      <c r="D1247" t="s">
        <v>32</v>
      </c>
      <c r="E1247" t="s">
        <v>24</v>
      </c>
      <c r="F1247" t="s">
        <v>39</v>
      </c>
      <c r="G1247" t="s">
        <v>26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P1247">
        <v>81.599999999999994</v>
      </c>
    </row>
    <row r="1248" spans="1:16">
      <c r="A1248" t="s">
        <v>1346</v>
      </c>
      <c r="B1248" s="2">
        <v>45680</v>
      </c>
      <c r="C1248" t="s">
        <v>723</v>
      </c>
      <c r="D1248" t="s">
        <v>28</v>
      </c>
      <c r="E1248" t="s">
        <v>34</v>
      </c>
      <c r="F1248" t="s">
        <v>41</v>
      </c>
      <c r="G1248" t="s">
        <v>30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91.6</v>
      </c>
    </row>
    <row r="1249" spans="1:16">
      <c r="A1249" t="s">
        <v>1347</v>
      </c>
      <c r="B1249" s="2">
        <v>45665</v>
      </c>
      <c r="C1249" t="s">
        <v>723</v>
      </c>
      <c r="D1249" t="s">
        <v>28</v>
      </c>
      <c r="E1249" t="s">
        <v>34</v>
      </c>
      <c r="G1249" t="s">
        <v>30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1</v>
      </c>
      <c r="N1249">
        <v>0</v>
      </c>
      <c r="P1249">
        <v>61.5</v>
      </c>
    </row>
    <row r="1250" spans="1:16">
      <c r="A1250" t="s">
        <v>1348</v>
      </c>
      <c r="B1250" s="2">
        <v>45707</v>
      </c>
      <c r="C1250" t="s">
        <v>723</v>
      </c>
      <c r="D1250" t="s">
        <v>18</v>
      </c>
      <c r="E1250" t="s">
        <v>24</v>
      </c>
      <c r="F1250" t="s">
        <v>25</v>
      </c>
      <c r="G1250" t="s">
        <v>30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6">
      <c r="A1251" t="s">
        <v>1349</v>
      </c>
      <c r="B1251" s="2">
        <v>45698</v>
      </c>
      <c r="C1251" t="s">
        <v>723</v>
      </c>
      <c r="D1251" t="s">
        <v>32</v>
      </c>
      <c r="E1251" t="s">
        <v>24</v>
      </c>
      <c r="F1251" t="s">
        <v>25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32.6</v>
      </c>
    </row>
    <row r="1252" spans="1:16">
      <c r="A1252" t="s">
        <v>1350</v>
      </c>
      <c r="B1252" s="2">
        <v>45760</v>
      </c>
      <c r="C1252" t="s">
        <v>723</v>
      </c>
      <c r="D1252" t="s">
        <v>32</v>
      </c>
      <c r="E1252" t="s">
        <v>24</v>
      </c>
      <c r="F1252" t="s">
        <v>29</v>
      </c>
      <c r="G1252" t="s">
        <v>26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73.900000000000006</v>
      </c>
    </row>
    <row r="1253" spans="1:16">
      <c r="A1253" t="s">
        <v>1352</v>
      </c>
      <c r="B1253" s="2">
        <v>45790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1</v>
      </c>
      <c r="N1253">
        <v>0</v>
      </c>
      <c r="P1253">
        <v>62.4</v>
      </c>
    </row>
    <row r="1254" spans="1:16">
      <c r="A1254" t="s">
        <v>1353</v>
      </c>
      <c r="B1254" s="2">
        <v>45805</v>
      </c>
      <c r="C1254" t="s">
        <v>723</v>
      </c>
      <c r="D1254" t="s">
        <v>32</v>
      </c>
      <c r="E1254" t="s">
        <v>19</v>
      </c>
      <c r="F1254" t="s">
        <v>29</v>
      </c>
      <c r="G1254" t="s">
        <v>21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46.1</v>
      </c>
    </row>
    <row r="1255" spans="1:16">
      <c r="A1255" t="s">
        <v>1355</v>
      </c>
      <c r="B1255" s="2">
        <v>45691</v>
      </c>
      <c r="C1255" t="s">
        <v>723</v>
      </c>
      <c r="D1255" t="s">
        <v>18</v>
      </c>
      <c r="E1255" t="s">
        <v>24</v>
      </c>
      <c r="F1255" t="s">
        <v>20</v>
      </c>
      <c r="G1255" t="s">
        <v>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90</v>
      </c>
    </row>
    <row r="1256" spans="1:16">
      <c r="A1256" t="s">
        <v>1356</v>
      </c>
      <c r="B1256" s="2">
        <v>45714</v>
      </c>
      <c r="C1256" t="s">
        <v>723</v>
      </c>
      <c r="D1256" t="s">
        <v>32</v>
      </c>
      <c r="E1256" t="s">
        <v>24</v>
      </c>
      <c r="F1256" t="s">
        <v>20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P1256">
        <v>68.8</v>
      </c>
    </row>
    <row r="1257" spans="1:16">
      <c r="A1257" t="s">
        <v>1357</v>
      </c>
      <c r="B1257" s="2">
        <v>45683</v>
      </c>
      <c r="C1257" t="s">
        <v>723</v>
      </c>
      <c r="D1257" t="s">
        <v>23</v>
      </c>
      <c r="E1257" t="s">
        <v>24</v>
      </c>
      <c r="F1257" t="s">
        <v>29</v>
      </c>
      <c r="G1257" t="s">
        <v>26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66.599999999999994</v>
      </c>
    </row>
    <row r="1258" spans="1:16">
      <c r="A1258" t="s">
        <v>1358</v>
      </c>
      <c r="B1258" s="2">
        <v>45790</v>
      </c>
      <c r="C1258" t="s">
        <v>723</v>
      </c>
      <c r="D1258" t="s">
        <v>18</v>
      </c>
      <c r="E1258" t="s">
        <v>24</v>
      </c>
      <c r="F1258" t="s">
        <v>25</v>
      </c>
      <c r="G1258" t="s">
        <v>30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49.7</v>
      </c>
    </row>
    <row r="1259" spans="1:16">
      <c r="A1259" t="s">
        <v>1359</v>
      </c>
      <c r="B1259" s="2">
        <v>45690</v>
      </c>
      <c r="C1259" t="s">
        <v>723</v>
      </c>
      <c r="D1259" t="s">
        <v>32</v>
      </c>
      <c r="E1259" t="s">
        <v>24</v>
      </c>
      <c r="F1259" t="s">
        <v>29</v>
      </c>
      <c r="G1259" t="s">
        <v>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67.900000000000006</v>
      </c>
    </row>
    <row r="1260" spans="1:16">
      <c r="A1260" t="s">
        <v>1360</v>
      </c>
      <c r="B1260" s="2">
        <v>45777</v>
      </c>
      <c r="C1260" t="s">
        <v>723</v>
      </c>
      <c r="D1260" t="s">
        <v>23</v>
      </c>
      <c r="E1260" t="s">
        <v>24</v>
      </c>
      <c r="G1260" t="s">
        <v>21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66.900000000000006</v>
      </c>
    </row>
    <row r="1261" spans="1:16">
      <c r="A1261" t="s">
        <v>1361</v>
      </c>
      <c r="B1261" s="2">
        <v>45745</v>
      </c>
      <c r="C1261" t="s">
        <v>723</v>
      </c>
      <c r="D1261" t="s">
        <v>28</v>
      </c>
      <c r="E1261" t="s">
        <v>24</v>
      </c>
      <c r="F1261" t="s">
        <v>25</v>
      </c>
      <c r="G1261" t="s">
        <v>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46.1</v>
      </c>
    </row>
    <row r="1262" spans="1:16">
      <c r="A1262" t="s">
        <v>1362</v>
      </c>
      <c r="B1262" s="2">
        <v>45756</v>
      </c>
      <c r="C1262" t="s">
        <v>723</v>
      </c>
      <c r="D1262" t="s">
        <v>23</v>
      </c>
      <c r="E1262" t="s">
        <v>19</v>
      </c>
      <c r="F1262" t="s">
        <v>39</v>
      </c>
      <c r="G1262" t="s">
        <v>30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85.6</v>
      </c>
    </row>
    <row r="1263" spans="1:16">
      <c r="A1263" t="s">
        <v>1363</v>
      </c>
      <c r="B1263" s="2">
        <v>45679</v>
      </c>
      <c r="C1263" t="s">
        <v>723</v>
      </c>
      <c r="D1263" t="s">
        <v>32</v>
      </c>
      <c r="E1263" t="s">
        <v>34</v>
      </c>
      <c r="F1263" t="s">
        <v>25</v>
      </c>
      <c r="G1263" t="s">
        <v>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39.6</v>
      </c>
    </row>
    <row r="1264" spans="1:16">
      <c r="A1264" t="s">
        <v>1364</v>
      </c>
      <c r="B1264" s="2">
        <v>45684</v>
      </c>
      <c r="C1264" t="s">
        <v>723</v>
      </c>
      <c r="D1264" t="s">
        <v>32</v>
      </c>
      <c r="E1264" t="s">
        <v>24</v>
      </c>
      <c r="F1264" t="s">
        <v>25</v>
      </c>
      <c r="G1264" t="s">
        <v>21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52.5</v>
      </c>
    </row>
    <row r="1265" spans="1:16">
      <c r="A1265" t="s">
        <v>1365</v>
      </c>
      <c r="B1265" s="2">
        <v>45679</v>
      </c>
      <c r="C1265" t="s">
        <v>723</v>
      </c>
      <c r="D1265" t="s">
        <v>28</v>
      </c>
      <c r="E1265" t="s">
        <v>24</v>
      </c>
      <c r="F1265" t="s">
        <v>41</v>
      </c>
      <c r="G1265" t="s">
        <v>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73.5</v>
      </c>
    </row>
    <row r="1266" spans="1:16">
      <c r="A1266" t="s">
        <v>1366</v>
      </c>
      <c r="B1266" s="2">
        <v>45663</v>
      </c>
      <c r="C1266" t="s">
        <v>723</v>
      </c>
      <c r="D1266" t="s">
        <v>23</v>
      </c>
      <c r="E1266" t="s">
        <v>19</v>
      </c>
      <c r="F1266" t="s">
        <v>29</v>
      </c>
      <c r="G1266" t="s">
        <v>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62.5</v>
      </c>
    </row>
    <row r="1267" spans="1:16">
      <c r="A1267" t="s">
        <v>1367</v>
      </c>
      <c r="B1267" s="2">
        <v>45763</v>
      </c>
      <c r="C1267" t="s">
        <v>723</v>
      </c>
      <c r="D1267" t="s">
        <v>32</v>
      </c>
      <c r="F1267" t="s">
        <v>25</v>
      </c>
      <c r="G1267" t="s">
        <v>26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76.900000000000006</v>
      </c>
    </row>
    <row r="1268" spans="1:16">
      <c r="A1268" t="s">
        <v>1368</v>
      </c>
      <c r="B1268" s="2">
        <v>45761</v>
      </c>
      <c r="C1268" t="s">
        <v>723</v>
      </c>
      <c r="D1268" t="s">
        <v>32</v>
      </c>
      <c r="E1268" t="s">
        <v>24</v>
      </c>
      <c r="F1268" t="s">
        <v>25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51.4</v>
      </c>
    </row>
    <row r="1269" spans="1:16">
      <c r="A1269" t="s">
        <v>1369</v>
      </c>
      <c r="B1269" s="2">
        <v>45710</v>
      </c>
      <c r="C1269" t="s">
        <v>723</v>
      </c>
      <c r="D1269" t="s">
        <v>23</v>
      </c>
      <c r="E1269" t="s">
        <v>24</v>
      </c>
      <c r="F1269" t="s">
        <v>29</v>
      </c>
      <c r="G1269" t="s">
        <v>21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59.3</v>
      </c>
    </row>
    <row r="1270" spans="1:16">
      <c r="A1270" t="s">
        <v>1370</v>
      </c>
      <c r="B1270" s="2">
        <v>45725</v>
      </c>
      <c r="C1270" t="s">
        <v>723</v>
      </c>
      <c r="D1270" t="s">
        <v>18</v>
      </c>
      <c r="E1270" t="s">
        <v>24</v>
      </c>
      <c r="F1270" t="s">
        <v>25</v>
      </c>
      <c r="G1270" t="s">
        <v>21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74.900000000000006</v>
      </c>
    </row>
    <row r="1271" spans="1:16">
      <c r="A1271" t="s">
        <v>1371</v>
      </c>
      <c r="B1271" s="2">
        <v>45767</v>
      </c>
      <c r="C1271" t="s">
        <v>723</v>
      </c>
      <c r="D1271" t="s">
        <v>23</v>
      </c>
      <c r="E1271" t="s">
        <v>19</v>
      </c>
      <c r="F1271" t="s">
        <v>25</v>
      </c>
      <c r="G1271" t="s">
        <v>26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67</v>
      </c>
    </row>
    <row r="1272" spans="1:16">
      <c r="A1272" t="s">
        <v>1372</v>
      </c>
      <c r="B1272" s="2">
        <v>45726</v>
      </c>
      <c r="C1272" t="s">
        <v>723</v>
      </c>
      <c r="D1272" t="s">
        <v>32</v>
      </c>
      <c r="E1272" t="s">
        <v>24</v>
      </c>
      <c r="F1272" t="s">
        <v>20</v>
      </c>
      <c r="G1272" t="s">
        <v>26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63.6</v>
      </c>
    </row>
    <row r="1273" spans="1:16">
      <c r="A1273" t="s">
        <v>1373</v>
      </c>
      <c r="B1273" s="2">
        <v>45709</v>
      </c>
      <c r="C1273" t="s">
        <v>723</v>
      </c>
      <c r="D1273" t="s">
        <v>32</v>
      </c>
      <c r="E1273" t="s">
        <v>24</v>
      </c>
      <c r="F1273" t="s">
        <v>20</v>
      </c>
      <c r="G1273" t="s">
        <v>26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0</v>
      </c>
      <c r="P1273">
        <v>58.4</v>
      </c>
    </row>
    <row r="1274" spans="1:16">
      <c r="A1274" t="s">
        <v>1374</v>
      </c>
      <c r="B1274" s="2">
        <v>45663</v>
      </c>
      <c r="C1274" t="s">
        <v>723</v>
      </c>
      <c r="D1274" t="s">
        <v>18</v>
      </c>
      <c r="E1274" t="s">
        <v>19</v>
      </c>
      <c r="F1274" t="s">
        <v>41</v>
      </c>
      <c r="G1274" t="s">
        <v>26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36.799999999999997</v>
      </c>
    </row>
    <row r="1275" spans="1:16">
      <c r="A1275" t="s">
        <v>1375</v>
      </c>
      <c r="B1275" s="2">
        <v>45764</v>
      </c>
      <c r="C1275" t="s">
        <v>723</v>
      </c>
      <c r="D1275" t="s">
        <v>32</v>
      </c>
      <c r="E1275" t="s">
        <v>24</v>
      </c>
      <c r="F1275" t="s">
        <v>25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71.599999999999994</v>
      </c>
    </row>
    <row r="1276" spans="1:16">
      <c r="A1276" t="s">
        <v>1376</v>
      </c>
      <c r="B1276" s="2">
        <v>45800</v>
      </c>
      <c r="C1276" t="s">
        <v>723</v>
      </c>
      <c r="D1276" t="s">
        <v>32</v>
      </c>
      <c r="E1276" t="s">
        <v>24</v>
      </c>
      <c r="F1276" t="s">
        <v>20</v>
      </c>
      <c r="G1276" t="s">
        <v>21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0</v>
      </c>
      <c r="P1276">
        <v>79.7</v>
      </c>
    </row>
    <row r="1277" spans="1:16">
      <c r="A1277" t="s">
        <v>1377</v>
      </c>
      <c r="B1277" s="2">
        <v>45730</v>
      </c>
      <c r="C1277" t="s">
        <v>723</v>
      </c>
      <c r="D1277" t="s">
        <v>23</v>
      </c>
      <c r="E1277" t="s">
        <v>19</v>
      </c>
      <c r="F1277" t="s">
        <v>25</v>
      </c>
      <c r="G1277" t="s">
        <v>21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0</v>
      </c>
      <c r="P1277">
        <v>56.5</v>
      </c>
    </row>
    <row r="1278" spans="1:16">
      <c r="A1278" t="s">
        <v>1378</v>
      </c>
      <c r="B1278" s="2">
        <v>45768</v>
      </c>
      <c r="C1278" t="s">
        <v>723</v>
      </c>
      <c r="D1278" t="s">
        <v>18</v>
      </c>
      <c r="E1278" t="s">
        <v>24</v>
      </c>
      <c r="F1278" t="s">
        <v>41</v>
      </c>
      <c r="G1278" t="s">
        <v>30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44.7</v>
      </c>
    </row>
    <row r="1279" spans="1:16">
      <c r="A1279" t="s">
        <v>1379</v>
      </c>
      <c r="B1279" s="2">
        <v>45660</v>
      </c>
      <c r="C1279" t="s">
        <v>723</v>
      </c>
      <c r="D1279" t="s">
        <v>32</v>
      </c>
      <c r="E1279" t="s">
        <v>24</v>
      </c>
      <c r="F1279" t="s">
        <v>41</v>
      </c>
      <c r="G1279" t="s">
        <v>26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  <c r="N1279">
        <v>0</v>
      </c>
      <c r="P1279">
        <v>66</v>
      </c>
    </row>
    <row r="1280" spans="1:16">
      <c r="A1280" t="s">
        <v>1380</v>
      </c>
      <c r="B1280" s="2">
        <v>45786</v>
      </c>
      <c r="C1280" t="s">
        <v>723</v>
      </c>
      <c r="D1280" t="s">
        <v>18</v>
      </c>
      <c r="E1280" t="s">
        <v>19</v>
      </c>
      <c r="F1280" t="s">
        <v>25</v>
      </c>
      <c r="G1280" t="s">
        <v>21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73</v>
      </c>
    </row>
    <row r="1281" spans="1:16">
      <c r="A1281" t="s">
        <v>1381</v>
      </c>
      <c r="B1281" s="2">
        <v>45799</v>
      </c>
      <c r="C1281" t="s">
        <v>723</v>
      </c>
      <c r="D1281" t="s">
        <v>32</v>
      </c>
      <c r="E1281" t="s">
        <v>24</v>
      </c>
      <c r="F1281" t="s">
        <v>25</v>
      </c>
      <c r="G1281" t="s">
        <v>21</v>
      </c>
      <c r="H1281">
        <v>1</v>
      </c>
      <c r="I1281">
        <v>1</v>
      </c>
      <c r="J1281">
        <v>1</v>
      </c>
      <c r="K1281">
        <v>0</v>
      </c>
      <c r="L1281">
        <v>0</v>
      </c>
      <c r="M1281">
        <v>1</v>
      </c>
      <c r="N1281">
        <v>0</v>
      </c>
      <c r="P1281">
        <v>72.5</v>
      </c>
    </row>
    <row r="1282" spans="1:16">
      <c r="A1282" t="s">
        <v>1383</v>
      </c>
      <c r="B1282" s="2">
        <v>45696</v>
      </c>
      <c r="C1282" t="s">
        <v>723</v>
      </c>
      <c r="D1282" t="s">
        <v>28</v>
      </c>
      <c r="E1282" t="s">
        <v>24</v>
      </c>
      <c r="F1282" t="s">
        <v>41</v>
      </c>
      <c r="G1282" t="s">
        <v>26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P1282">
        <v>90.5</v>
      </c>
    </row>
    <row r="1283" spans="1:16">
      <c r="A1283" t="s">
        <v>1384</v>
      </c>
      <c r="B1283" s="2">
        <v>45750</v>
      </c>
      <c r="C1283" t="s">
        <v>723</v>
      </c>
      <c r="D1283" t="s">
        <v>18</v>
      </c>
      <c r="E1283" t="s">
        <v>34</v>
      </c>
      <c r="F1283" t="s">
        <v>41</v>
      </c>
      <c r="G1283" t="s">
        <v>21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70.2</v>
      </c>
    </row>
    <row r="1284" spans="1:16">
      <c r="A1284" t="s">
        <v>1385</v>
      </c>
      <c r="B1284" s="2">
        <v>45764</v>
      </c>
      <c r="C1284" t="s">
        <v>723</v>
      </c>
      <c r="D1284" t="s">
        <v>28</v>
      </c>
      <c r="E1284" t="s">
        <v>19</v>
      </c>
      <c r="F1284" t="s">
        <v>29</v>
      </c>
      <c r="G1284" t="s">
        <v>26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67.099999999999994</v>
      </c>
    </row>
    <row r="1285" spans="1:16">
      <c r="A1285" t="s">
        <v>1386</v>
      </c>
      <c r="B1285" s="2">
        <v>45781</v>
      </c>
      <c r="C1285" t="s">
        <v>723</v>
      </c>
      <c r="D1285" t="s">
        <v>28</v>
      </c>
      <c r="E1285" t="s">
        <v>24</v>
      </c>
      <c r="F1285" t="s">
        <v>25</v>
      </c>
      <c r="G1285" t="s">
        <v>26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54.5</v>
      </c>
    </row>
    <row r="1286" spans="1:16">
      <c r="A1286" t="s">
        <v>1387</v>
      </c>
      <c r="B1286" s="2">
        <v>45788</v>
      </c>
      <c r="C1286" t="s">
        <v>723</v>
      </c>
      <c r="D1286" t="s">
        <v>23</v>
      </c>
      <c r="E1286" t="s">
        <v>19</v>
      </c>
      <c r="F1286" t="s">
        <v>25</v>
      </c>
      <c r="G1286" t="s">
        <v>26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63.4</v>
      </c>
    </row>
    <row r="1287" spans="1:16">
      <c r="A1287" t="s">
        <v>1388</v>
      </c>
      <c r="B1287" s="2">
        <v>45717</v>
      </c>
      <c r="C1287" t="s">
        <v>723</v>
      </c>
      <c r="D1287" t="s">
        <v>18</v>
      </c>
      <c r="E1287" t="s">
        <v>19</v>
      </c>
      <c r="G1287" t="s">
        <v>26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P1287">
        <v>84.3</v>
      </c>
    </row>
    <row r="1288" spans="1:16">
      <c r="A1288" t="s">
        <v>1389</v>
      </c>
      <c r="B1288" s="2">
        <v>45708</v>
      </c>
      <c r="C1288" t="s">
        <v>723</v>
      </c>
      <c r="D1288" t="s">
        <v>23</v>
      </c>
      <c r="E1288" t="s">
        <v>19</v>
      </c>
      <c r="F1288" t="s">
        <v>25</v>
      </c>
      <c r="G1288" t="s">
        <v>26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55</v>
      </c>
    </row>
    <row r="1289" spans="1:16">
      <c r="A1289" t="s">
        <v>1390</v>
      </c>
      <c r="B1289" s="2">
        <v>45786</v>
      </c>
      <c r="C1289" t="s">
        <v>723</v>
      </c>
      <c r="D1289" t="s">
        <v>23</v>
      </c>
      <c r="E1289" t="s">
        <v>24</v>
      </c>
      <c r="F1289" t="s">
        <v>41</v>
      </c>
      <c r="G1289" t="s">
        <v>26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63.6</v>
      </c>
    </row>
    <row r="1290" spans="1:16">
      <c r="A1290" t="s">
        <v>1391</v>
      </c>
      <c r="B1290" s="2">
        <v>45777</v>
      </c>
      <c r="C1290" t="s">
        <v>723</v>
      </c>
      <c r="D1290" t="s">
        <v>23</v>
      </c>
      <c r="E1290" t="s">
        <v>24</v>
      </c>
      <c r="F1290" t="s">
        <v>25</v>
      </c>
      <c r="G1290" t="s">
        <v>26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55.5</v>
      </c>
    </row>
    <row r="1291" spans="1:16">
      <c r="A1291" t="s">
        <v>1392</v>
      </c>
      <c r="B1291" s="2">
        <v>45664</v>
      </c>
      <c r="C1291" t="s">
        <v>723</v>
      </c>
      <c r="D1291" t="s">
        <v>32</v>
      </c>
      <c r="E1291" t="s">
        <v>24</v>
      </c>
      <c r="F1291" t="s">
        <v>41</v>
      </c>
      <c r="G1291" t="s">
        <v>21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50.5</v>
      </c>
    </row>
    <row r="1292" spans="1:16">
      <c r="A1292" t="s">
        <v>1393</v>
      </c>
      <c r="B1292" s="2">
        <v>45777</v>
      </c>
      <c r="C1292" t="s">
        <v>723</v>
      </c>
      <c r="D1292" t="s">
        <v>18</v>
      </c>
      <c r="E1292" t="s">
        <v>24</v>
      </c>
      <c r="F1292" t="s">
        <v>41</v>
      </c>
      <c r="G1292" t="s">
        <v>21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45.3</v>
      </c>
    </row>
    <row r="1293" spans="1:16">
      <c r="A1293" t="s">
        <v>1394</v>
      </c>
      <c r="B1293" s="2">
        <v>45800</v>
      </c>
      <c r="C1293" t="s">
        <v>723</v>
      </c>
      <c r="D1293" t="s">
        <v>28</v>
      </c>
      <c r="E1293" t="s">
        <v>24</v>
      </c>
      <c r="F1293" t="s">
        <v>25</v>
      </c>
      <c r="G1293" t="s">
        <v>21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33.6</v>
      </c>
    </row>
    <row r="1294" spans="1:16">
      <c r="A1294" t="s">
        <v>1395</v>
      </c>
      <c r="B1294" s="2">
        <v>45728</v>
      </c>
      <c r="C1294" t="s">
        <v>723</v>
      </c>
      <c r="D1294" t="s">
        <v>32</v>
      </c>
      <c r="E1294" t="s">
        <v>24</v>
      </c>
      <c r="F1294" t="s">
        <v>29</v>
      </c>
      <c r="G1294" t="s">
        <v>30</v>
      </c>
      <c r="H1294">
        <v>1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P1294">
        <v>88.2</v>
      </c>
    </row>
    <row r="1295" spans="1:16">
      <c r="A1295" t="s">
        <v>1396</v>
      </c>
      <c r="B1295" s="2">
        <v>45705</v>
      </c>
      <c r="C1295" t="s">
        <v>723</v>
      </c>
      <c r="D1295" t="s">
        <v>18</v>
      </c>
      <c r="E1295" t="s">
        <v>24</v>
      </c>
      <c r="F1295" t="s">
        <v>25</v>
      </c>
      <c r="G1295" t="s">
        <v>30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51.8</v>
      </c>
    </row>
    <row r="1296" spans="1:16">
      <c r="A1296" t="s">
        <v>1397</v>
      </c>
      <c r="B1296" s="2">
        <v>45804</v>
      </c>
      <c r="C1296" t="s">
        <v>723</v>
      </c>
      <c r="D1296" t="s">
        <v>18</v>
      </c>
      <c r="E1296" t="s">
        <v>19</v>
      </c>
      <c r="F1296" t="s">
        <v>25</v>
      </c>
      <c r="G1296" t="s">
        <v>21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87.9</v>
      </c>
    </row>
    <row r="1297" spans="1:16">
      <c r="A1297" t="s">
        <v>1398</v>
      </c>
      <c r="B1297" s="2">
        <v>45787</v>
      </c>
      <c r="C1297" t="s">
        <v>723</v>
      </c>
      <c r="D1297" t="s">
        <v>32</v>
      </c>
      <c r="E1297" t="s">
        <v>24</v>
      </c>
      <c r="F1297" t="s">
        <v>41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P1297">
        <v>70.5</v>
      </c>
    </row>
    <row r="1298" spans="1:16">
      <c r="A1298" t="s">
        <v>1399</v>
      </c>
      <c r="B1298" s="2">
        <v>45677</v>
      </c>
      <c r="C1298" t="s">
        <v>723</v>
      </c>
      <c r="D1298" t="s">
        <v>18</v>
      </c>
      <c r="E1298" t="s">
        <v>24</v>
      </c>
      <c r="F1298" t="s">
        <v>25</v>
      </c>
      <c r="G1298" t="s">
        <v>21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2</v>
      </c>
      <c r="N1298">
        <v>0</v>
      </c>
      <c r="P1298">
        <v>58.5</v>
      </c>
    </row>
    <row r="1299" spans="1:16">
      <c r="A1299" t="s">
        <v>1400</v>
      </c>
      <c r="B1299" s="2">
        <v>45676</v>
      </c>
      <c r="C1299" t="s">
        <v>723</v>
      </c>
      <c r="D1299" t="s">
        <v>28</v>
      </c>
      <c r="E1299" t="s">
        <v>24</v>
      </c>
      <c r="F1299" t="s">
        <v>39</v>
      </c>
      <c r="G1299" t="s">
        <v>26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65.599999999999994</v>
      </c>
    </row>
    <row r="1300" spans="1:16">
      <c r="A1300" t="s">
        <v>1401</v>
      </c>
      <c r="B1300" s="2">
        <v>45723</v>
      </c>
      <c r="C1300" t="s">
        <v>723</v>
      </c>
      <c r="D1300" t="s">
        <v>23</v>
      </c>
      <c r="E1300" t="s">
        <v>19</v>
      </c>
      <c r="F1300" t="s">
        <v>29</v>
      </c>
      <c r="G1300" t="s">
        <v>21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62.7</v>
      </c>
    </row>
    <row r="1301" spans="1:16">
      <c r="A1301" t="s">
        <v>1402</v>
      </c>
      <c r="B1301" s="2">
        <v>45690</v>
      </c>
      <c r="C1301" t="s">
        <v>723</v>
      </c>
      <c r="D1301" t="s">
        <v>28</v>
      </c>
      <c r="E1301" t="s">
        <v>24</v>
      </c>
      <c r="F1301" t="s">
        <v>25</v>
      </c>
      <c r="G1301" t="s">
        <v>26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P1301">
        <v>50.9</v>
      </c>
    </row>
    <row r="1302" spans="1:16">
      <c r="A1302" t="s">
        <v>1403</v>
      </c>
      <c r="B1302" s="2">
        <v>45723</v>
      </c>
      <c r="C1302" t="s">
        <v>723</v>
      </c>
      <c r="D1302" t="s">
        <v>18</v>
      </c>
      <c r="E1302" t="s">
        <v>24</v>
      </c>
      <c r="F1302" t="s">
        <v>25</v>
      </c>
      <c r="G1302" t="s">
        <v>26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P1302">
        <v>60.6</v>
      </c>
    </row>
    <row r="1303" spans="1:16">
      <c r="A1303" t="s">
        <v>1404</v>
      </c>
      <c r="B1303" s="2">
        <v>45746</v>
      </c>
      <c r="C1303" t="s">
        <v>723</v>
      </c>
      <c r="D1303" t="s">
        <v>28</v>
      </c>
      <c r="E1303" t="s">
        <v>19</v>
      </c>
      <c r="F1303" t="s">
        <v>25</v>
      </c>
      <c r="G1303" t="s">
        <v>26</v>
      </c>
      <c r="H1303">
        <v>1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P1303">
        <v>76.599999999999994</v>
      </c>
    </row>
    <row r="1304" spans="1:16">
      <c r="A1304" t="s">
        <v>1405</v>
      </c>
      <c r="B1304" s="2">
        <v>45782</v>
      </c>
      <c r="C1304" t="s">
        <v>723</v>
      </c>
      <c r="D1304" t="s">
        <v>28</v>
      </c>
      <c r="E1304" t="s">
        <v>19</v>
      </c>
      <c r="F1304" t="s">
        <v>29</v>
      </c>
      <c r="G1304" t="s">
        <v>26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54.4</v>
      </c>
    </row>
    <row r="1305" spans="1:16">
      <c r="A1305" t="s">
        <v>1406</v>
      </c>
      <c r="B1305" s="2">
        <v>45758</v>
      </c>
      <c r="C1305" t="s">
        <v>723</v>
      </c>
      <c r="D1305" t="s">
        <v>32</v>
      </c>
      <c r="E1305" t="s">
        <v>24</v>
      </c>
      <c r="F1305" t="s">
        <v>41</v>
      </c>
      <c r="G1305" t="s">
        <v>26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31.2</v>
      </c>
    </row>
    <row r="1306" spans="1:16">
      <c r="A1306" t="s">
        <v>1407</v>
      </c>
      <c r="B1306" s="2">
        <v>45741</v>
      </c>
      <c r="C1306" t="s">
        <v>723</v>
      </c>
      <c r="D1306" t="s">
        <v>23</v>
      </c>
      <c r="E1306" t="s">
        <v>19</v>
      </c>
      <c r="F1306" t="s">
        <v>20</v>
      </c>
      <c r="G1306" t="s">
        <v>30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72.400000000000006</v>
      </c>
    </row>
    <row r="1307" spans="1:16">
      <c r="A1307" t="s">
        <v>1408</v>
      </c>
      <c r="B1307" s="2">
        <v>45740</v>
      </c>
      <c r="C1307" t="s">
        <v>723</v>
      </c>
      <c r="D1307" t="s">
        <v>18</v>
      </c>
      <c r="E1307" t="s">
        <v>24</v>
      </c>
      <c r="F1307" t="s">
        <v>25</v>
      </c>
      <c r="G1307" t="s">
        <v>30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74.5</v>
      </c>
    </row>
    <row r="1308" spans="1:16">
      <c r="A1308" t="s">
        <v>1409</v>
      </c>
      <c r="B1308" s="2">
        <v>45774</v>
      </c>
      <c r="C1308" t="s">
        <v>723</v>
      </c>
      <c r="D1308" t="s">
        <v>28</v>
      </c>
      <c r="E1308" t="s">
        <v>24</v>
      </c>
      <c r="F1308" t="s">
        <v>25</v>
      </c>
      <c r="G1308" t="s">
        <v>21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52.6</v>
      </c>
    </row>
    <row r="1309" spans="1:16">
      <c r="A1309" t="s">
        <v>1410</v>
      </c>
      <c r="B1309" s="2">
        <v>45682</v>
      </c>
      <c r="C1309" t="s">
        <v>723</v>
      </c>
      <c r="D1309" t="s">
        <v>18</v>
      </c>
      <c r="E1309" t="s">
        <v>19</v>
      </c>
      <c r="F1309" t="s">
        <v>29</v>
      </c>
      <c r="G1309" t="s">
        <v>26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75.400000000000006</v>
      </c>
    </row>
    <row r="1310" spans="1:16">
      <c r="A1310" t="s">
        <v>1412</v>
      </c>
      <c r="B1310" s="2">
        <v>45760</v>
      </c>
      <c r="C1310" t="s">
        <v>723</v>
      </c>
      <c r="D1310" t="s">
        <v>32</v>
      </c>
      <c r="E1310" t="s">
        <v>19</v>
      </c>
      <c r="F1310" t="s">
        <v>25</v>
      </c>
      <c r="G1310" t="s">
        <v>26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67.099999999999994</v>
      </c>
    </row>
    <row r="1311" spans="1:16">
      <c r="A1311" t="s">
        <v>1413</v>
      </c>
      <c r="B1311" s="2">
        <v>45780</v>
      </c>
      <c r="C1311" t="s">
        <v>723</v>
      </c>
      <c r="D1311" t="s">
        <v>23</v>
      </c>
      <c r="E1311" t="s">
        <v>19</v>
      </c>
      <c r="F1311" t="s">
        <v>29</v>
      </c>
      <c r="G1311" t="s">
        <v>30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37.299999999999997</v>
      </c>
    </row>
    <row r="1312" spans="1:16">
      <c r="A1312" t="s">
        <v>1414</v>
      </c>
      <c r="B1312" s="2">
        <v>45776</v>
      </c>
      <c r="C1312" t="s">
        <v>723</v>
      </c>
      <c r="D1312" t="s">
        <v>23</v>
      </c>
      <c r="E1312" t="s">
        <v>24</v>
      </c>
      <c r="F1312" t="s">
        <v>20</v>
      </c>
      <c r="G1312" t="s">
        <v>26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54.7</v>
      </c>
    </row>
    <row r="1313" spans="1:16">
      <c r="A1313" t="s">
        <v>1415</v>
      </c>
      <c r="B1313" s="2">
        <v>45780</v>
      </c>
      <c r="C1313" t="s">
        <v>723</v>
      </c>
      <c r="D1313" t="s">
        <v>28</v>
      </c>
      <c r="E1313" t="s">
        <v>19</v>
      </c>
      <c r="F1313" t="s">
        <v>29</v>
      </c>
      <c r="G1313" t="s">
        <v>26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51.8</v>
      </c>
    </row>
    <row r="1314" spans="1:16">
      <c r="A1314" t="s">
        <v>1416</v>
      </c>
      <c r="B1314" s="2">
        <v>45775</v>
      </c>
      <c r="C1314" t="s">
        <v>723</v>
      </c>
      <c r="D1314" t="s">
        <v>23</v>
      </c>
      <c r="E1314" t="s">
        <v>24</v>
      </c>
      <c r="F1314" t="s">
        <v>29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49.2</v>
      </c>
    </row>
    <row r="1315" spans="1:16">
      <c r="A1315" t="s">
        <v>1417</v>
      </c>
      <c r="B1315" s="2">
        <v>45678</v>
      </c>
      <c r="C1315" t="s">
        <v>723</v>
      </c>
      <c r="D1315" t="s">
        <v>23</v>
      </c>
      <c r="E1315" t="s">
        <v>24</v>
      </c>
      <c r="F1315" t="s">
        <v>25</v>
      </c>
      <c r="G1315" t="s">
        <v>26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2</v>
      </c>
      <c r="N1315">
        <v>0</v>
      </c>
      <c r="P1315">
        <v>58.8</v>
      </c>
    </row>
    <row r="1316" spans="1:16">
      <c r="A1316" t="s">
        <v>1418</v>
      </c>
      <c r="B1316" s="2">
        <v>45678</v>
      </c>
      <c r="C1316" t="s">
        <v>723</v>
      </c>
      <c r="D1316" t="s">
        <v>18</v>
      </c>
      <c r="E1316" t="s">
        <v>34</v>
      </c>
      <c r="F1316" t="s">
        <v>29</v>
      </c>
      <c r="G1316" t="s">
        <v>21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P1316">
        <v>59.1</v>
      </c>
    </row>
    <row r="1317" spans="1:16">
      <c r="A1317" t="s">
        <v>1419</v>
      </c>
      <c r="B1317" s="2">
        <v>45798</v>
      </c>
      <c r="C1317" t="s">
        <v>723</v>
      </c>
      <c r="D1317" t="s">
        <v>23</v>
      </c>
      <c r="E1317" t="s">
        <v>19</v>
      </c>
      <c r="F1317" t="s">
        <v>29</v>
      </c>
      <c r="G1317" t="s">
        <v>26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2</v>
      </c>
      <c r="N1317">
        <v>0</v>
      </c>
      <c r="P1317">
        <v>49.6</v>
      </c>
    </row>
    <row r="1318" spans="1:16">
      <c r="A1318" t="s">
        <v>1420</v>
      </c>
      <c r="B1318" s="2">
        <v>45662</v>
      </c>
      <c r="C1318" t="s">
        <v>723</v>
      </c>
      <c r="D1318" t="s">
        <v>18</v>
      </c>
      <c r="E1318" t="s">
        <v>24</v>
      </c>
      <c r="F1318" t="s">
        <v>39</v>
      </c>
      <c r="G1318" t="s">
        <v>26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58.2</v>
      </c>
    </row>
    <row r="1319" spans="1:16">
      <c r="A1319" t="s">
        <v>1421</v>
      </c>
      <c r="B1319" s="2">
        <v>45722</v>
      </c>
      <c r="C1319" t="s">
        <v>723</v>
      </c>
      <c r="D1319" t="s">
        <v>32</v>
      </c>
      <c r="E1319" t="s">
        <v>19</v>
      </c>
      <c r="F1319" t="s">
        <v>25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66.8</v>
      </c>
    </row>
    <row r="1320" spans="1:16">
      <c r="A1320" t="s">
        <v>1422</v>
      </c>
      <c r="B1320" s="2">
        <v>45765</v>
      </c>
      <c r="C1320" t="s">
        <v>723</v>
      </c>
      <c r="D1320" t="s">
        <v>18</v>
      </c>
      <c r="E1320" t="s">
        <v>24</v>
      </c>
      <c r="F1320" t="s">
        <v>29</v>
      </c>
      <c r="G1320" t="s">
        <v>26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3</v>
      </c>
      <c r="N1320">
        <v>0</v>
      </c>
      <c r="P1320">
        <v>58.3</v>
      </c>
    </row>
    <row r="1321" spans="1:16">
      <c r="A1321" t="s">
        <v>1423</v>
      </c>
      <c r="B1321" s="2">
        <v>45762</v>
      </c>
      <c r="C1321" t="s">
        <v>723</v>
      </c>
      <c r="D1321" t="s">
        <v>23</v>
      </c>
      <c r="E1321" t="s">
        <v>24</v>
      </c>
      <c r="F1321" t="s">
        <v>25</v>
      </c>
      <c r="G1321" t="s">
        <v>21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P1321">
        <v>38.5</v>
      </c>
    </row>
    <row r="1322" spans="1:16">
      <c r="A1322" t="s">
        <v>1424</v>
      </c>
      <c r="B1322" s="2">
        <v>45698</v>
      </c>
      <c r="C1322" t="s">
        <v>723</v>
      </c>
      <c r="D1322" t="s">
        <v>28</v>
      </c>
      <c r="E1322" t="s">
        <v>24</v>
      </c>
      <c r="F1322" t="s">
        <v>29</v>
      </c>
      <c r="G1322" t="s">
        <v>26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76.900000000000006</v>
      </c>
    </row>
    <row r="1323" spans="1:16">
      <c r="A1323" t="s">
        <v>1425</v>
      </c>
      <c r="B1323" s="2">
        <v>45785</v>
      </c>
      <c r="C1323" t="s">
        <v>723</v>
      </c>
      <c r="D1323" t="s">
        <v>28</v>
      </c>
      <c r="E1323" t="s">
        <v>24</v>
      </c>
      <c r="F1323" t="s">
        <v>25</v>
      </c>
      <c r="G1323" t="s">
        <v>26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54</v>
      </c>
    </row>
    <row r="1324" spans="1:16">
      <c r="A1324" t="s">
        <v>1426</v>
      </c>
      <c r="B1324" s="2">
        <v>45805</v>
      </c>
      <c r="C1324" t="s">
        <v>723</v>
      </c>
      <c r="D1324" t="s">
        <v>28</v>
      </c>
      <c r="E1324" t="s">
        <v>34</v>
      </c>
      <c r="F1324" t="s">
        <v>25</v>
      </c>
      <c r="G1324" t="s">
        <v>26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70.599999999999994</v>
      </c>
    </row>
    <row r="1325" spans="1:16">
      <c r="A1325" t="s">
        <v>1427</v>
      </c>
      <c r="B1325" s="2">
        <v>45772</v>
      </c>
      <c r="C1325" t="s">
        <v>723</v>
      </c>
      <c r="D1325" t="s">
        <v>18</v>
      </c>
      <c r="E1325" t="s">
        <v>34</v>
      </c>
      <c r="F1325" t="s">
        <v>39</v>
      </c>
      <c r="G1325" t="s">
        <v>30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1</v>
      </c>
      <c r="N1325">
        <v>0</v>
      </c>
      <c r="P1325">
        <v>69.400000000000006</v>
      </c>
    </row>
    <row r="1326" spans="1:16">
      <c r="A1326" t="s">
        <v>1429</v>
      </c>
      <c r="B1326" s="2">
        <v>45761</v>
      </c>
      <c r="C1326" t="s">
        <v>723</v>
      </c>
      <c r="D1326" t="s">
        <v>23</v>
      </c>
      <c r="E1326" t="s">
        <v>24</v>
      </c>
      <c r="F1326" t="s">
        <v>25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62.4</v>
      </c>
    </row>
    <row r="1327" spans="1:16">
      <c r="A1327" t="s">
        <v>1430</v>
      </c>
      <c r="B1327" s="2">
        <v>45692</v>
      </c>
      <c r="C1327" t="s">
        <v>723</v>
      </c>
      <c r="D1327" t="s">
        <v>23</v>
      </c>
      <c r="E1327" t="s">
        <v>34</v>
      </c>
      <c r="F1327" t="s">
        <v>25</v>
      </c>
      <c r="G1327" t="s">
        <v>30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67.3</v>
      </c>
    </row>
    <row r="1328" spans="1:16">
      <c r="A1328" t="s">
        <v>1431</v>
      </c>
      <c r="B1328" s="2">
        <v>45738</v>
      </c>
      <c r="C1328" t="s">
        <v>723</v>
      </c>
      <c r="D1328" t="s">
        <v>28</v>
      </c>
      <c r="E1328" t="s">
        <v>24</v>
      </c>
      <c r="F1328" t="s">
        <v>39</v>
      </c>
      <c r="G1328" t="s">
        <v>26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54.9</v>
      </c>
    </row>
    <row r="1329" spans="1:16">
      <c r="A1329" t="s">
        <v>1432</v>
      </c>
      <c r="B1329" s="2">
        <v>45765</v>
      </c>
      <c r="C1329" t="s">
        <v>723</v>
      </c>
      <c r="D1329" t="s">
        <v>28</v>
      </c>
      <c r="E1329" t="s">
        <v>19</v>
      </c>
      <c r="F1329" t="s">
        <v>41</v>
      </c>
      <c r="G1329" t="s">
        <v>26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55.7</v>
      </c>
    </row>
    <row r="1330" spans="1:16">
      <c r="A1330" t="s">
        <v>949</v>
      </c>
      <c r="B1330" s="2">
        <v>45711</v>
      </c>
      <c r="C1330" t="s">
        <v>723</v>
      </c>
      <c r="D1330" t="s">
        <v>23</v>
      </c>
      <c r="E1330" t="s">
        <v>19</v>
      </c>
      <c r="F1330" t="s">
        <v>41</v>
      </c>
      <c r="G1330" t="s">
        <v>21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P1330">
        <v>70.599999999999994</v>
      </c>
    </row>
    <row r="1331" spans="1:16">
      <c r="A1331" t="s">
        <v>464</v>
      </c>
      <c r="B1331" s="2">
        <v>45691</v>
      </c>
      <c r="C1331" t="s">
        <v>17</v>
      </c>
      <c r="D1331" t="s">
        <v>18</v>
      </c>
      <c r="E1331" t="s">
        <v>34</v>
      </c>
      <c r="F1331" t="s">
        <v>20</v>
      </c>
      <c r="G1331" t="s">
        <v>21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60.9</v>
      </c>
    </row>
    <row r="1332" spans="1:16">
      <c r="A1332" t="s">
        <v>1394</v>
      </c>
      <c r="B1332" s="2">
        <v>45800</v>
      </c>
      <c r="C1332" t="s">
        <v>723</v>
      </c>
      <c r="D1332" t="s">
        <v>28</v>
      </c>
      <c r="E1332" t="s">
        <v>24</v>
      </c>
      <c r="F1332" t="s">
        <v>25</v>
      </c>
      <c r="G1332" t="s">
        <v>21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33.6</v>
      </c>
    </row>
    <row r="1333" spans="1:16">
      <c r="A1333" t="s">
        <v>127</v>
      </c>
      <c r="B1333" s="2">
        <v>45693</v>
      </c>
      <c r="C1333" t="s">
        <v>17</v>
      </c>
      <c r="D1333" t="s">
        <v>28</v>
      </c>
      <c r="E1333" t="s">
        <v>24</v>
      </c>
      <c r="F1333" t="s">
        <v>41</v>
      </c>
      <c r="G1333" t="s">
        <v>26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68</v>
      </c>
    </row>
    <row r="1334" spans="1:16">
      <c r="A1334" t="s">
        <v>1242</v>
      </c>
      <c r="B1334" s="2">
        <v>45712</v>
      </c>
      <c r="C1334" t="s">
        <v>723</v>
      </c>
      <c r="D1334" t="s">
        <v>23</v>
      </c>
      <c r="E1334" t="s">
        <v>24</v>
      </c>
      <c r="F1334" t="s">
        <v>25</v>
      </c>
      <c r="G1334" t="s">
        <v>21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62</v>
      </c>
    </row>
    <row r="1335" spans="1:16">
      <c r="A1335" t="s">
        <v>1264</v>
      </c>
      <c r="B1335" s="2">
        <v>45746</v>
      </c>
      <c r="C1335" t="s">
        <v>723</v>
      </c>
      <c r="D1335" t="s">
        <v>28</v>
      </c>
      <c r="E1335" t="s">
        <v>24</v>
      </c>
      <c r="F1335" t="s">
        <v>25</v>
      </c>
      <c r="G1335" t="s">
        <v>26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1</v>
      </c>
      <c r="N1335">
        <v>0</v>
      </c>
      <c r="P1335">
        <v>72.5</v>
      </c>
    </row>
    <row r="1336" spans="1:16">
      <c r="A1336" t="s">
        <v>1091</v>
      </c>
      <c r="B1336" s="2">
        <v>45793</v>
      </c>
      <c r="C1336" t="s">
        <v>723</v>
      </c>
      <c r="D1336" t="s">
        <v>32</v>
      </c>
      <c r="E1336" t="s">
        <v>24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70.3</v>
      </c>
    </row>
    <row r="1337" spans="1:16">
      <c r="A1337" t="s">
        <v>572</v>
      </c>
      <c r="B1337" s="2">
        <v>45799</v>
      </c>
      <c r="C1337" t="s">
        <v>17</v>
      </c>
      <c r="D1337" t="s">
        <v>18</v>
      </c>
      <c r="E1337" t="s">
        <v>24</v>
      </c>
      <c r="F1337" t="s">
        <v>29</v>
      </c>
      <c r="G1337" t="s">
        <v>21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39.9</v>
      </c>
    </row>
    <row r="1338" spans="1:16">
      <c r="A1338" t="s">
        <v>1029</v>
      </c>
      <c r="B1338" s="2">
        <v>45772</v>
      </c>
      <c r="C1338" t="s">
        <v>723</v>
      </c>
      <c r="D1338" t="s">
        <v>23</v>
      </c>
      <c r="E1338" t="s">
        <v>24</v>
      </c>
      <c r="F1338" t="s">
        <v>41</v>
      </c>
      <c r="G1338" t="s">
        <v>26</v>
      </c>
      <c r="H1338">
        <v>1</v>
      </c>
      <c r="I1338">
        <v>1</v>
      </c>
      <c r="J1338">
        <v>1</v>
      </c>
      <c r="K1338">
        <v>1</v>
      </c>
      <c r="L1338">
        <v>218.66</v>
      </c>
      <c r="M1338">
        <v>0</v>
      </c>
      <c r="N1338">
        <v>1</v>
      </c>
      <c r="O1338">
        <v>8</v>
      </c>
      <c r="P1338">
        <v>72.2</v>
      </c>
    </row>
    <row r="1339" spans="1:16">
      <c r="A1339" t="s">
        <v>91</v>
      </c>
      <c r="B1339" s="2">
        <v>45658</v>
      </c>
      <c r="C1339" t="s">
        <v>17</v>
      </c>
      <c r="D1339" t="s">
        <v>23</v>
      </c>
      <c r="E1339" t="s">
        <v>24</v>
      </c>
      <c r="F1339" t="s">
        <v>41</v>
      </c>
      <c r="G1339" t="s">
        <v>26</v>
      </c>
      <c r="H1339">
        <v>1</v>
      </c>
      <c r="I1339">
        <v>1</v>
      </c>
      <c r="J1339">
        <v>1</v>
      </c>
      <c r="K1339">
        <v>1</v>
      </c>
      <c r="L1339">
        <v>240.42</v>
      </c>
      <c r="M1339">
        <v>0</v>
      </c>
      <c r="N1339">
        <v>0</v>
      </c>
      <c r="O1339">
        <v>16</v>
      </c>
      <c r="P1339">
        <v>56.5</v>
      </c>
    </row>
    <row r="1340" spans="1:16">
      <c r="A1340" t="s">
        <v>1211</v>
      </c>
      <c r="B1340" s="2">
        <v>45751</v>
      </c>
      <c r="C1340" t="s">
        <v>723</v>
      </c>
      <c r="D1340" t="s">
        <v>23</v>
      </c>
      <c r="E1340" t="s">
        <v>19</v>
      </c>
      <c r="F1340" t="s">
        <v>29</v>
      </c>
      <c r="G1340" t="s">
        <v>26</v>
      </c>
      <c r="H1340">
        <v>1</v>
      </c>
      <c r="I1340">
        <v>1</v>
      </c>
      <c r="J1340">
        <v>1</v>
      </c>
      <c r="K1340">
        <v>1</v>
      </c>
      <c r="L1340">
        <v>265.58999999999997</v>
      </c>
      <c r="M1340">
        <v>1</v>
      </c>
      <c r="N1340">
        <v>0</v>
      </c>
      <c r="O1340">
        <v>8</v>
      </c>
      <c r="P1340">
        <v>80.400000000000006</v>
      </c>
    </row>
    <row r="1341" spans="1:16">
      <c r="A1341" t="s">
        <v>1085</v>
      </c>
      <c r="B1341" s="2">
        <v>45691</v>
      </c>
      <c r="C1341" t="s">
        <v>723</v>
      </c>
      <c r="D1341" t="s">
        <v>18</v>
      </c>
      <c r="E1341" t="s">
        <v>19</v>
      </c>
      <c r="F1341" t="s">
        <v>20</v>
      </c>
      <c r="G1341" t="s">
        <v>26</v>
      </c>
      <c r="H1341">
        <v>1</v>
      </c>
      <c r="I1341">
        <v>1</v>
      </c>
      <c r="J1341">
        <v>1</v>
      </c>
      <c r="K1341">
        <v>1</v>
      </c>
      <c r="L1341">
        <v>268.95999999999998</v>
      </c>
      <c r="M1341">
        <v>0</v>
      </c>
      <c r="N1341">
        <v>0</v>
      </c>
      <c r="O1341">
        <v>14</v>
      </c>
      <c r="P1341">
        <v>81</v>
      </c>
    </row>
    <row r="1342" spans="1:16">
      <c r="A1342" t="s">
        <v>746</v>
      </c>
      <c r="B1342" s="2">
        <v>45767</v>
      </c>
      <c r="C1342" t="s">
        <v>723</v>
      </c>
      <c r="D1342" t="s">
        <v>32</v>
      </c>
      <c r="E1342" t="s">
        <v>24</v>
      </c>
      <c r="F1342" t="s">
        <v>39</v>
      </c>
      <c r="G1342" t="s">
        <v>26</v>
      </c>
      <c r="H1342">
        <v>1</v>
      </c>
      <c r="I1342">
        <v>1</v>
      </c>
      <c r="J1342">
        <v>1</v>
      </c>
      <c r="K1342">
        <v>1</v>
      </c>
      <c r="L1342">
        <v>277.18</v>
      </c>
      <c r="M1342">
        <v>2</v>
      </c>
      <c r="N1342">
        <v>0</v>
      </c>
      <c r="O1342">
        <v>8</v>
      </c>
      <c r="P1342">
        <v>59.2</v>
      </c>
    </row>
    <row r="1343" spans="1:16">
      <c r="A1343" t="s">
        <v>846</v>
      </c>
      <c r="B1343" s="2">
        <v>45752</v>
      </c>
      <c r="C1343" t="s">
        <v>723</v>
      </c>
      <c r="D1343" t="s">
        <v>28</v>
      </c>
      <c r="E1343" t="s">
        <v>24</v>
      </c>
      <c r="F1343" t="s">
        <v>29</v>
      </c>
      <c r="G1343" t="s">
        <v>26</v>
      </c>
      <c r="H1343">
        <v>1</v>
      </c>
      <c r="I1343">
        <v>1</v>
      </c>
      <c r="J1343">
        <v>1</v>
      </c>
      <c r="K1343">
        <v>1</v>
      </c>
      <c r="L1343">
        <v>277.69</v>
      </c>
      <c r="M1343">
        <v>3</v>
      </c>
      <c r="N1343">
        <v>0</v>
      </c>
      <c r="O1343">
        <v>8</v>
      </c>
      <c r="P1343">
        <v>46</v>
      </c>
    </row>
    <row r="1344" spans="1:16">
      <c r="A1344" t="s">
        <v>1177</v>
      </c>
      <c r="B1344" s="2">
        <v>45788</v>
      </c>
      <c r="C1344" t="s">
        <v>723</v>
      </c>
      <c r="D1344" t="s">
        <v>23</v>
      </c>
      <c r="E1344" t="s">
        <v>24</v>
      </c>
      <c r="F1344" t="s">
        <v>25</v>
      </c>
      <c r="G1344" t="s">
        <v>26</v>
      </c>
      <c r="H1344">
        <v>1</v>
      </c>
      <c r="I1344">
        <v>1</v>
      </c>
      <c r="J1344">
        <v>1</v>
      </c>
      <c r="K1344">
        <v>1</v>
      </c>
      <c r="L1344">
        <v>290.39</v>
      </c>
      <c r="M1344">
        <v>0</v>
      </c>
      <c r="N1344">
        <v>0</v>
      </c>
      <c r="O1344">
        <v>4</v>
      </c>
      <c r="P1344">
        <v>54.4</v>
      </c>
    </row>
    <row r="1345" spans="1:16">
      <c r="A1345" t="s">
        <v>980</v>
      </c>
      <c r="B1345" s="2">
        <v>45770</v>
      </c>
      <c r="C1345" t="s">
        <v>723</v>
      </c>
      <c r="D1345" t="s">
        <v>28</v>
      </c>
      <c r="E1345" t="s">
        <v>24</v>
      </c>
      <c r="F1345" t="s">
        <v>29</v>
      </c>
      <c r="G1345" t="s">
        <v>26</v>
      </c>
      <c r="H1345">
        <v>1</v>
      </c>
      <c r="I1345">
        <v>1</v>
      </c>
      <c r="J1345">
        <v>1</v>
      </c>
      <c r="K1345">
        <v>1</v>
      </c>
      <c r="L1345">
        <v>301.98</v>
      </c>
      <c r="M1345">
        <v>0</v>
      </c>
      <c r="N1345">
        <v>0</v>
      </c>
      <c r="O1345">
        <v>10</v>
      </c>
      <c r="P1345">
        <v>52.2</v>
      </c>
    </row>
    <row r="1346" spans="1:16">
      <c r="A1346" t="s">
        <v>1382</v>
      </c>
      <c r="B1346" s="2">
        <v>45784</v>
      </c>
      <c r="C1346" t="s">
        <v>723</v>
      </c>
      <c r="D1346" t="s">
        <v>32</v>
      </c>
      <c r="E1346" t="s">
        <v>19</v>
      </c>
      <c r="F1346" t="s">
        <v>29</v>
      </c>
      <c r="G1346" t="s">
        <v>26</v>
      </c>
      <c r="H1346">
        <v>1</v>
      </c>
      <c r="I1346">
        <v>1</v>
      </c>
      <c r="J1346">
        <v>1</v>
      </c>
      <c r="K1346">
        <v>1</v>
      </c>
      <c r="L1346">
        <v>323.60000000000002</v>
      </c>
      <c r="M1346">
        <v>0</v>
      </c>
      <c r="N1346">
        <v>0</v>
      </c>
      <c r="O1346">
        <v>6</v>
      </c>
      <c r="P1346">
        <v>100</v>
      </c>
    </row>
    <row r="1347" spans="1:16">
      <c r="A1347" t="s">
        <v>975</v>
      </c>
      <c r="B1347" s="2">
        <v>45692</v>
      </c>
      <c r="C1347" t="s">
        <v>723</v>
      </c>
      <c r="D1347" t="s">
        <v>32</v>
      </c>
      <c r="E1347" t="s">
        <v>24</v>
      </c>
      <c r="F1347" t="s">
        <v>29</v>
      </c>
      <c r="G1347" t="s">
        <v>26</v>
      </c>
      <c r="H1347">
        <v>1</v>
      </c>
      <c r="I1347">
        <v>1</v>
      </c>
      <c r="J1347">
        <v>1</v>
      </c>
      <c r="K1347">
        <v>1</v>
      </c>
      <c r="L1347">
        <v>324.68</v>
      </c>
      <c r="M1347">
        <v>1</v>
      </c>
      <c r="N1347">
        <v>0</v>
      </c>
      <c r="O1347">
        <v>7</v>
      </c>
      <c r="P1347">
        <v>50.1</v>
      </c>
    </row>
    <row r="1348" spans="1:16">
      <c r="A1348" t="s">
        <v>1106</v>
      </c>
      <c r="B1348" s="2">
        <v>45710</v>
      </c>
      <c r="C1348" t="s">
        <v>723</v>
      </c>
      <c r="D1348" t="s">
        <v>32</v>
      </c>
      <c r="E1348" t="s">
        <v>19</v>
      </c>
      <c r="F1348" t="s">
        <v>25</v>
      </c>
      <c r="G1348" t="s">
        <v>26</v>
      </c>
      <c r="H1348">
        <v>1</v>
      </c>
      <c r="I1348">
        <v>1</v>
      </c>
      <c r="J1348">
        <v>1</v>
      </c>
      <c r="K1348">
        <v>1</v>
      </c>
      <c r="L1348">
        <v>331.53</v>
      </c>
      <c r="M1348">
        <v>2</v>
      </c>
      <c r="N1348">
        <v>0</v>
      </c>
      <c r="O1348">
        <v>4</v>
      </c>
      <c r="P1348">
        <v>56.8</v>
      </c>
    </row>
    <row r="1349" spans="1:16">
      <c r="A1349" t="s">
        <v>937</v>
      </c>
      <c r="B1349" s="2">
        <v>45680</v>
      </c>
      <c r="C1349" t="s">
        <v>723</v>
      </c>
      <c r="D1349" t="s">
        <v>32</v>
      </c>
      <c r="E1349" t="s">
        <v>24</v>
      </c>
      <c r="F1349" t="s">
        <v>29</v>
      </c>
      <c r="G1349" t="s">
        <v>26</v>
      </c>
      <c r="H1349">
        <v>1</v>
      </c>
      <c r="I1349">
        <v>1</v>
      </c>
      <c r="J1349">
        <v>1</v>
      </c>
      <c r="K1349">
        <v>1</v>
      </c>
      <c r="L1349">
        <v>341.38</v>
      </c>
      <c r="M1349">
        <v>0</v>
      </c>
      <c r="N1349">
        <v>0</v>
      </c>
      <c r="O1349">
        <v>2</v>
      </c>
      <c r="P1349">
        <v>63.6</v>
      </c>
    </row>
    <row r="1350" spans="1:16">
      <c r="A1350" t="s">
        <v>691</v>
      </c>
      <c r="B1350" s="2">
        <v>45767</v>
      </c>
      <c r="C1350" t="s">
        <v>17</v>
      </c>
      <c r="D1350" t="s">
        <v>32</v>
      </c>
      <c r="E1350" t="s">
        <v>19</v>
      </c>
      <c r="F1350" t="s">
        <v>41</v>
      </c>
      <c r="G1350" t="s">
        <v>26</v>
      </c>
      <c r="H1350">
        <v>1</v>
      </c>
      <c r="I1350">
        <v>1</v>
      </c>
      <c r="J1350">
        <v>1</v>
      </c>
      <c r="K1350">
        <v>1</v>
      </c>
      <c r="L1350">
        <v>347.52</v>
      </c>
      <c r="M1350">
        <v>0</v>
      </c>
      <c r="N1350">
        <v>0</v>
      </c>
      <c r="O1350">
        <v>2</v>
      </c>
      <c r="P1350">
        <v>57.2</v>
      </c>
    </row>
    <row r="1351" spans="1:16">
      <c r="A1351" t="s">
        <v>1253</v>
      </c>
      <c r="B1351" s="2">
        <v>45714</v>
      </c>
      <c r="C1351" t="s">
        <v>723</v>
      </c>
      <c r="D1351" t="s">
        <v>18</v>
      </c>
      <c r="E1351" t="s">
        <v>24</v>
      </c>
      <c r="F1351" t="s">
        <v>41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351.43</v>
      </c>
      <c r="M1351">
        <v>1</v>
      </c>
      <c r="N1351">
        <v>0</v>
      </c>
      <c r="O1351">
        <v>6</v>
      </c>
      <c r="P1351">
        <v>74.900000000000006</v>
      </c>
    </row>
    <row r="1352" spans="1:16">
      <c r="A1352" t="s">
        <v>1254</v>
      </c>
      <c r="B1352" s="2">
        <v>45715</v>
      </c>
      <c r="C1352" t="s">
        <v>723</v>
      </c>
      <c r="D1352" t="s">
        <v>32</v>
      </c>
      <c r="E1352" t="s">
        <v>19</v>
      </c>
      <c r="F1352" t="s">
        <v>39</v>
      </c>
      <c r="G1352" t="s">
        <v>26</v>
      </c>
      <c r="H1352">
        <v>1</v>
      </c>
      <c r="I1352">
        <v>1</v>
      </c>
      <c r="J1352">
        <v>1</v>
      </c>
      <c r="K1352">
        <v>1</v>
      </c>
      <c r="L1352">
        <v>352.42</v>
      </c>
      <c r="M1352">
        <v>0</v>
      </c>
      <c r="N1352">
        <v>0</v>
      </c>
      <c r="O1352">
        <v>4</v>
      </c>
      <c r="P1352">
        <v>58.5</v>
      </c>
    </row>
    <row r="1353" spans="1:16">
      <c r="A1353" t="s">
        <v>130</v>
      </c>
      <c r="B1353" s="2">
        <v>45699</v>
      </c>
      <c r="C1353" t="s">
        <v>17</v>
      </c>
      <c r="D1353" t="s">
        <v>28</v>
      </c>
      <c r="E1353" t="s">
        <v>19</v>
      </c>
      <c r="F1353" t="s">
        <v>41</v>
      </c>
      <c r="G1353" t="s">
        <v>26</v>
      </c>
      <c r="H1353">
        <v>1</v>
      </c>
      <c r="I1353">
        <v>1</v>
      </c>
      <c r="J1353">
        <v>1</v>
      </c>
      <c r="K1353">
        <v>1</v>
      </c>
      <c r="L1353">
        <v>363.32</v>
      </c>
      <c r="M1353">
        <v>0</v>
      </c>
      <c r="N1353">
        <v>0</v>
      </c>
      <c r="O1353">
        <v>9</v>
      </c>
      <c r="P1353">
        <v>55.9</v>
      </c>
    </row>
    <row r="1354" spans="1:16">
      <c r="A1354" t="s">
        <v>887</v>
      </c>
      <c r="B1354" s="2">
        <v>45716</v>
      </c>
      <c r="C1354" t="s">
        <v>723</v>
      </c>
      <c r="D1354" t="s">
        <v>18</v>
      </c>
      <c r="E1354" t="s">
        <v>24</v>
      </c>
      <c r="F1354" t="s">
        <v>29</v>
      </c>
      <c r="G1354" t="s">
        <v>26</v>
      </c>
      <c r="H1354">
        <v>1</v>
      </c>
      <c r="I1354">
        <v>1</v>
      </c>
      <c r="J1354">
        <v>1</v>
      </c>
      <c r="K1354">
        <v>1</v>
      </c>
      <c r="L1354">
        <v>398.33</v>
      </c>
      <c r="M1354">
        <v>0</v>
      </c>
      <c r="N1354">
        <v>0</v>
      </c>
      <c r="O1354">
        <v>5</v>
      </c>
      <c r="P1354">
        <v>85.1</v>
      </c>
    </row>
    <row r="1355" spans="1:16">
      <c r="A1355" t="s">
        <v>837</v>
      </c>
      <c r="B1355" s="2">
        <v>45771</v>
      </c>
      <c r="C1355" t="s">
        <v>723</v>
      </c>
      <c r="D1355" t="s">
        <v>23</v>
      </c>
      <c r="E1355" t="s">
        <v>19</v>
      </c>
      <c r="F1355" t="s">
        <v>25</v>
      </c>
      <c r="G1355" t="s">
        <v>26</v>
      </c>
      <c r="H1355">
        <v>1</v>
      </c>
      <c r="I1355">
        <v>1</v>
      </c>
      <c r="J1355">
        <v>1</v>
      </c>
      <c r="K1355">
        <v>1</v>
      </c>
      <c r="L1355">
        <v>402.88</v>
      </c>
      <c r="M1355">
        <v>0</v>
      </c>
      <c r="N1355">
        <v>0</v>
      </c>
      <c r="O1355">
        <v>12</v>
      </c>
      <c r="P1355">
        <v>76</v>
      </c>
    </row>
    <row r="1356" spans="1:16">
      <c r="A1356" t="s">
        <v>173</v>
      </c>
      <c r="B1356" s="2">
        <v>45750</v>
      </c>
      <c r="C1356" t="s">
        <v>17</v>
      </c>
      <c r="D1356" t="s">
        <v>23</v>
      </c>
      <c r="E1356" t="s">
        <v>19</v>
      </c>
      <c r="F1356" t="s">
        <v>41</v>
      </c>
      <c r="G1356" t="s">
        <v>26</v>
      </c>
      <c r="H1356">
        <v>1</v>
      </c>
      <c r="I1356">
        <v>1</v>
      </c>
      <c r="J1356">
        <v>1</v>
      </c>
      <c r="K1356">
        <v>1</v>
      </c>
      <c r="L1356">
        <v>404.4</v>
      </c>
      <c r="M1356">
        <v>0</v>
      </c>
      <c r="N1356">
        <v>0</v>
      </c>
      <c r="O1356">
        <v>9</v>
      </c>
      <c r="P1356">
        <v>80.599999999999994</v>
      </c>
    </row>
    <row r="1357" spans="1:16">
      <c r="A1357" t="s">
        <v>339</v>
      </c>
      <c r="B1357" s="2">
        <v>45687</v>
      </c>
      <c r="C1357" t="s">
        <v>17</v>
      </c>
      <c r="D1357" t="s">
        <v>23</v>
      </c>
      <c r="E1357" t="s">
        <v>34</v>
      </c>
      <c r="F1357" t="s">
        <v>29</v>
      </c>
      <c r="G1357" t="s">
        <v>26</v>
      </c>
      <c r="H1357">
        <v>1</v>
      </c>
      <c r="I1357">
        <v>1</v>
      </c>
      <c r="J1357">
        <v>1</v>
      </c>
      <c r="K1357">
        <v>1</v>
      </c>
      <c r="L1357">
        <v>409.39</v>
      </c>
      <c r="M1357">
        <v>0</v>
      </c>
      <c r="N1357">
        <v>0</v>
      </c>
      <c r="O1357">
        <v>10</v>
      </c>
      <c r="P1357">
        <v>38.799999999999997</v>
      </c>
    </row>
    <row r="1358" spans="1:16">
      <c r="A1358" t="s">
        <v>1146</v>
      </c>
      <c r="B1358" s="2">
        <v>45682</v>
      </c>
      <c r="C1358" t="s">
        <v>723</v>
      </c>
      <c r="D1358" t="s">
        <v>32</v>
      </c>
      <c r="E1358" t="s">
        <v>24</v>
      </c>
      <c r="F1358" t="s">
        <v>41</v>
      </c>
      <c r="G1358" t="s">
        <v>26</v>
      </c>
      <c r="H1358">
        <v>1</v>
      </c>
      <c r="I1358">
        <v>1</v>
      </c>
      <c r="J1358">
        <v>1</v>
      </c>
      <c r="K1358">
        <v>1</v>
      </c>
      <c r="L1358">
        <v>416.94</v>
      </c>
      <c r="M1358">
        <v>1</v>
      </c>
      <c r="N1358">
        <v>0</v>
      </c>
      <c r="O1358">
        <v>11</v>
      </c>
      <c r="P1358">
        <v>67</v>
      </c>
    </row>
    <row r="1359" spans="1:16">
      <c r="A1359" t="s">
        <v>1288</v>
      </c>
      <c r="B1359" s="2">
        <v>45684</v>
      </c>
      <c r="C1359" t="s">
        <v>723</v>
      </c>
      <c r="D1359" t="s">
        <v>28</v>
      </c>
      <c r="E1359" t="s">
        <v>19</v>
      </c>
      <c r="G1359" t="s">
        <v>26</v>
      </c>
      <c r="H1359">
        <v>1</v>
      </c>
      <c r="I1359">
        <v>1</v>
      </c>
      <c r="J1359">
        <v>1</v>
      </c>
      <c r="K1359">
        <v>1</v>
      </c>
      <c r="L1359">
        <v>420.27</v>
      </c>
      <c r="M1359">
        <v>0</v>
      </c>
      <c r="N1359">
        <v>0</v>
      </c>
      <c r="O1359">
        <v>6</v>
      </c>
      <c r="P1359">
        <v>58.4</v>
      </c>
    </row>
    <row r="1360" spans="1:16">
      <c r="A1360" t="s">
        <v>1110</v>
      </c>
      <c r="B1360" s="2">
        <v>45767</v>
      </c>
      <c r="C1360" t="s">
        <v>723</v>
      </c>
      <c r="D1360" t="s">
        <v>32</v>
      </c>
      <c r="E1360" t="s">
        <v>24</v>
      </c>
      <c r="F1360" t="s">
        <v>25</v>
      </c>
      <c r="G1360" t="s">
        <v>26</v>
      </c>
      <c r="H1360">
        <v>1</v>
      </c>
      <c r="I1360">
        <v>1</v>
      </c>
      <c r="J1360">
        <v>1</v>
      </c>
      <c r="K1360">
        <v>1</v>
      </c>
      <c r="L1360">
        <v>422.02</v>
      </c>
      <c r="M1360">
        <v>0</v>
      </c>
      <c r="N1360">
        <v>0</v>
      </c>
      <c r="O1360">
        <v>8</v>
      </c>
      <c r="P1360">
        <v>86.5</v>
      </c>
    </row>
    <row r="1361" spans="1:16">
      <c r="A1361" t="s">
        <v>362</v>
      </c>
      <c r="B1361" s="2">
        <v>45701</v>
      </c>
      <c r="C1361" t="s">
        <v>17</v>
      </c>
      <c r="D1361" t="s">
        <v>28</v>
      </c>
      <c r="E1361" t="s">
        <v>24</v>
      </c>
      <c r="F1361" t="s">
        <v>25</v>
      </c>
      <c r="G1361" t="s">
        <v>26</v>
      </c>
      <c r="H1361">
        <v>1</v>
      </c>
      <c r="I1361">
        <v>1</v>
      </c>
      <c r="J1361">
        <v>1</v>
      </c>
      <c r="K1361">
        <v>1</v>
      </c>
      <c r="L1361">
        <v>426.82</v>
      </c>
      <c r="M1361">
        <v>1</v>
      </c>
      <c r="N1361">
        <v>0</v>
      </c>
      <c r="O1361">
        <v>14</v>
      </c>
      <c r="P1361">
        <v>68.8</v>
      </c>
    </row>
    <row r="1362" spans="1:16">
      <c r="A1362" t="s">
        <v>1343</v>
      </c>
      <c r="B1362" s="2">
        <v>45673</v>
      </c>
      <c r="C1362" t="s">
        <v>723</v>
      </c>
      <c r="D1362" t="s">
        <v>18</v>
      </c>
      <c r="E1362" t="s">
        <v>19</v>
      </c>
      <c r="F1362" t="s">
        <v>25</v>
      </c>
      <c r="G1362" t="s">
        <v>26</v>
      </c>
      <c r="H1362">
        <v>1</v>
      </c>
      <c r="I1362">
        <v>1</v>
      </c>
      <c r="J1362">
        <v>1</v>
      </c>
      <c r="K1362">
        <v>1</v>
      </c>
      <c r="L1362">
        <v>428.37</v>
      </c>
      <c r="M1362">
        <v>0</v>
      </c>
      <c r="N1362">
        <v>0</v>
      </c>
      <c r="O1362">
        <v>9</v>
      </c>
      <c r="P1362">
        <v>88.3</v>
      </c>
    </row>
    <row r="1363" spans="1:16">
      <c r="A1363" t="s">
        <v>869</v>
      </c>
      <c r="B1363" s="2">
        <v>45771</v>
      </c>
      <c r="C1363" t="s">
        <v>723</v>
      </c>
      <c r="D1363" t="s">
        <v>32</v>
      </c>
      <c r="E1363" t="s">
        <v>24</v>
      </c>
      <c r="F1363" t="s">
        <v>39</v>
      </c>
      <c r="G1363" t="s">
        <v>26</v>
      </c>
      <c r="H1363">
        <v>1</v>
      </c>
      <c r="I1363">
        <v>1</v>
      </c>
      <c r="J1363">
        <v>1</v>
      </c>
      <c r="K1363">
        <v>1</v>
      </c>
      <c r="L1363">
        <v>428.8</v>
      </c>
      <c r="M1363">
        <v>0</v>
      </c>
      <c r="N1363">
        <v>0</v>
      </c>
      <c r="O1363">
        <v>9</v>
      </c>
      <c r="P1363">
        <v>79.3</v>
      </c>
    </row>
    <row r="1364" spans="1:16">
      <c r="A1364" t="s">
        <v>868</v>
      </c>
      <c r="B1364" s="2">
        <v>45663</v>
      </c>
      <c r="C1364" t="s">
        <v>723</v>
      </c>
      <c r="D1364" t="s">
        <v>18</v>
      </c>
      <c r="E1364" t="s">
        <v>19</v>
      </c>
      <c r="F1364" t="s">
        <v>41</v>
      </c>
      <c r="G1364" t="s">
        <v>26</v>
      </c>
      <c r="H1364">
        <v>1</v>
      </c>
      <c r="I1364">
        <v>1</v>
      </c>
      <c r="J1364">
        <v>1</v>
      </c>
      <c r="K1364">
        <v>1</v>
      </c>
      <c r="L1364">
        <v>431.27</v>
      </c>
      <c r="M1364">
        <v>0</v>
      </c>
      <c r="N1364">
        <v>0</v>
      </c>
      <c r="O1364">
        <v>7</v>
      </c>
      <c r="P1364">
        <v>60.8</v>
      </c>
    </row>
    <row r="1365" spans="1:16">
      <c r="A1365" t="s">
        <v>1094</v>
      </c>
      <c r="B1365" s="2">
        <v>45683</v>
      </c>
      <c r="C1365" t="s">
        <v>723</v>
      </c>
      <c r="D1365" t="s">
        <v>28</v>
      </c>
      <c r="E1365" t="s">
        <v>24</v>
      </c>
      <c r="F1365" t="s">
        <v>29</v>
      </c>
      <c r="G1365" t="s">
        <v>26</v>
      </c>
      <c r="H1365">
        <v>1</v>
      </c>
      <c r="I1365">
        <v>1</v>
      </c>
      <c r="J1365">
        <v>1</v>
      </c>
      <c r="K1365">
        <v>1</v>
      </c>
      <c r="L1365">
        <v>437.09</v>
      </c>
      <c r="M1365">
        <v>2</v>
      </c>
      <c r="N1365">
        <v>1</v>
      </c>
      <c r="O1365">
        <v>1</v>
      </c>
      <c r="P1365">
        <v>58.2</v>
      </c>
    </row>
    <row r="1366" spans="1:16">
      <c r="A1366" t="s">
        <v>764</v>
      </c>
      <c r="B1366" s="2">
        <v>45686</v>
      </c>
      <c r="C1366" t="s">
        <v>723</v>
      </c>
      <c r="D1366" t="s">
        <v>18</v>
      </c>
      <c r="E1366" t="s">
        <v>24</v>
      </c>
      <c r="F1366" t="s">
        <v>39</v>
      </c>
      <c r="G1366" t="s">
        <v>26</v>
      </c>
      <c r="H1366">
        <v>1</v>
      </c>
      <c r="I1366">
        <v>1</v>
      </c>
      <c r="J1366">
        <v>1</v>
      </c>
      <c r="K1366">
        <v>1</v>
      </c>
      <c r="L1366">
        <v>442.37</v>
      </c>
      <c r="M1366">
        <v>1</v>
      </c>
      <c r="N1366">
        <v>0</v>
      </c>
      <c r="O1366">
        <v>4</v>
      </c>
      <c r="P1366">
        <v>69.900000000000006</v>
      </c>
    </row>
    <row r="1367" spans="1:16">
      <c r="A1367" t="s">
        <v>1351</v>
      </c>
      <c r="B1367" s="2">
        <v>45797</v>
      </c>
      <c r="C1367" t="s">
        <v>723</v>
      </c>
      <c r="D1367" t="s">
        <v>28</v>
      </c>
      <c r="E1367" t="s">
        <v>24</v>
      </c>
      <c r="F1367" t="s">
        <v>25</v>
      </c>
      <c r="G1367" t="s">
        <v>26</v>
      </c>
      <c r="H1367">
        <v>1</v>
      </c>
      <c r="I1367">
        <v>1</v>
      </c>
      <c r="J1367">
        <v>1</v>
      </c>
      <c r="K1367">
        <v>1</v>
      </c>
      <c r="L1367">
        <v>444.06</v>
      </c>
      <c r="M1367">
        <v>0</v>
      </c>
      <c r="N1367">
        <v>0</v>
      </c>
      <c r="O1367">
        <v>9</v>
      </c>
      <c r="P1367">
        <v>99.9</v>
      </c>
    </row>
    <row r="1368" spans="1:16">
      <c r="A1368" t="s">
        <v>733</v>
      </c>
      <c r="B1368" s="2">
        <v>45782</v>
      </c>
      <c r="C1368" t="s">
        <v>723</v>
      </c>
      <c r="D1368" t="s">
        <v>18</v>
      </c>
      <c r="E1368" t="s">
        <v>24</v>
      </c>
      <c r="F1368" t="s">
        <v>25</v>
      </c>
      <c r="G1368" t="s">
        <v>26</v>
      </c>
      <c r="H1368">
        <v>1</v>
      </c>
      <c r="I1368">
        <v>1</v>
      </c>
      <c r="J1368">
        <v>1</v>
      </c>
      <c r="K1368">
        <v>1</v>
      </c>
      <c r="L1368">
        <v>444.13</v>
      </c>
      <c r="M1368">
        <v>0</v>
      </c>
      <c r="N1368">
        <v>0</v>
      </c>
      <c r="O1368">
        <v>10</v>
      </c>
      <c r="P1368">
        <v>80.7</v>
      </c>
    </row>
    <row r="1369" spans="1:16">
      <c r="A1369" t="s">
        <v>110</v>
      </c>
      <c r="B1369" s="2">
        <v>45708</v>
      </c>
      <c r="C1369" t="s">
        <v>17</v>
      </c>
      <c r="D1369" t="s">
        <v>23</v>
      </c>
      <c r="E1369" t="s">
        <v>19</v>
      </c>
      <c r="F1369" t="s">
        <v>25</v>
      </c>
      <c r="G1369" t="s">
        <v>26</v>
      </c>
      <c r="H1369">
        <v>1</v>
      </c>
      <c r="I1369">
        <v>1</v>
      </c>
      <c r="J1369">
        <v>1</v>
      </c>
      <c r="K1369">
        <v>1</v>
      </c>
      <c r="L1369">
        <v>457.51</v>
      </c>
      <c r="M1369">
        <v>0</v>
      </c>
      <c r="N1369">
        <v>0</v>
      </c>
      <c r="O1369">
        <v>7</v>
      </c>
      <c r="P1369">
        <v>38</v>
      </c>
    </row>
    <row r="1370" spans="1:16">
      <c r="A1370" t="s">
        <v>851</v>
      </c>
      <c r="B1370" s="2">
        <v>45692</v>
      </c>
      <c r="C1370" t="s">
        <v>723</v>
      </c>
      <c r="D1370" t="s">
        <v>32</v>
      </c>
      <c r="E1370" t="s">
        <v>24</v>
      </c>
      <c r="F1370" t="s">
        <v>25</v>
      </c>
      <c r="G1370" t="s">
        <v>26</v>
      </c>
      <c r="H1370">
        <v>1</v>
      </c>
      <c r="I1370">
        <v>1</v>
      </c>
      <c r="J1370">
        <v>1</v>
      </c>
      <c r="K1370">
        <v>1</v>
      </c>
      <c r="L1370">
        <v>460.83</v>
      </c>
      <c r="M1370">
        <v>2</v>
      </c>
      <c r="N1370">
        <v>0</v>
      </c>
      <c r="O1370">
        <v>0</v>
      </c>
      <c r="P1370">
        <v>69.7</v>
      </c>
    </row>
    <row r="1371" spans="1:16">
      <c r="A1371" t="s">
        <v>963</v>
      </c>
      <c r="B1371" s="2">
        <v>45747</v>
      </c>
      <c r="C1371" t="s">
        <v>723</v>
      </c>
      <c r="D1371" t="s">
        <v>28</v>
      </c>
      <c r="E1371" t="s">
        <v>19</v>
      </c>
      <c r="F1371" t="s">
        <v>39</v>
      </c>
      <c r="G1371" t="s">
        <v>26</v>
      </c>
      <c r="H1371">
        <v>1</v>
      </c>
      <c r="I1371">
        <v>1</v>
      </c>
      <c r="J1371">
        <v>1</v>
      </c>
      <c r="K1371">
        <v>1</v>
      </c>
      <c r="L1371">
        <v>476.44</v>
      </c>
      <c r="M1371">
        <v>0</v>
      </c>
      <c r="N1371">
        <v>0</v>
      </c>
      <c r="O1371">
        <v>3</v>
      </c>
      <c r="P1371">
        <v>88.6</v>
      </c>
    </row>
    <row r="1372" spans="1:16">
      <c r="A1372" t="s">
        <v>953</v>
      </c>
      <c r="B1372" s="2">
        <v>45736</v>
      </c>
      <c r="C1372" t="s">
        <v>723</v>
      </c>
      <c r="D1372" t="s">
        <v>23</v>
      </c>
      <c r="E1372" t="s">
        <v>24</v>
      </c>
      <c r="F1372" t="s">
        <v>20</v>
      </c>
      <c r="G1372" t="s">
        <v>26</v>
      </c>
      <c r="H1372">
        <v>1</v>
      </c>
      <c r="I1372">
        <v>1</v>
      </c>
      <c r="J1372">
        <v>1</v>
      </c>
      <c r="K1372">
        <v>1</v>
      </c>
      <c r="L1372">
        <v>513.52</v>
      </c>
      <c r="M1372">
        <v>0</v>
      </c>
      <c r="N1372">
        <v>0</v>
      </c>
      <c r="O1372">
        <v>8</v>
      </c>
      <c r="P1372">
        <v>43.4</v>
      </c>
    </row>
    <row r="1373" spans="1:16">
      <c r="A1373" t="s">
        <v>532</v>
      </c>
      <c r="B1373" s="2">
        <v>45701</v>
      </c>
      <c r="C1373" t="s">
        <v>17</v>
      </c>
      <c r="D1373" t="s">
        <v>23</v>
      </c>
      <c r="E1373" t="s">
        <v>24</v>
      </c>
      <c r="F1373" t="s">
        <v>41</v>
      </c>
      <c r="G1373" t="s">
        <v>26</v>
      </c>
      <c r="H1373">
        <v>1</v>
      </c>
      <c r="I1373">
        <v>1</v>
      </c>
      <c r="J1373">
        <v>1</v>
      </c>
      <c r="K1373">
        <v>1</v>
      </c>
      <c r="L1373">
        <v>513.61</v>
      </c>
      <c r="M1373">
        <v>0</v>
      </c>
      <c r="N1373">
        <v>0</v>
      </c>
      <c r="O1373">
        <v>7</v>
      </c>
      <c r="P1373">
        <v>41.3</v>
      </c>
    </row>
    <row r="1374" spans="1:16">
      <c r="A1374" t="s">
        <v>745</v>
      </c>
      <c r="B1374" s="2">
        <v>45763</v>
      </c>
      <c r="C1374" t="s">
        <v>723</v>
      </c>
      <c r="D1374" t="s">
        <v>28</v>
      </c>
      <c r="E1374" t="s">
        <v>24</v>
      </c>
      <c r="F1374" t="s">
        <v>25</v>
      </c>
      <c r="G1374" t="s">
        <v>26</v>
      </c>
      <c r="H1374">
        <v>1</v>
      </c>
      <c r="I1374">
        <v>1</v>
      </c>
      <c r="J1374">
        <v>1</v>
      </c>
      <c r="K1374">
        <v>1</v>
      </c>
      <c r="L1374">
        <v>516.66999999999996</v>
      </c>
      <c r="M1374">
        <v>0</v>
      </c>
      <c r="N1374">
        <v>0</v>
      </c>
      <c r="O1374">
        <v>11</v>
      </c>
      <c r="P1374">
        <v>57.9</v>
      </c>
    </row>
    <row r="1375" spans="1:16">
      <c r="A1375" t="s">
        <v>242</v>
      </c>
      <c r="B1375" s="2">
        <v>45739</v>
      </c>
      <c r="C1375" t="s">
        <v>17</v>
      </c>
      <c r="D1375" t="s">
        <v>28</v>
      </c>
      <c r="F1375" t="s">
        <v>39</v>
      </c>
      <c r="G1375" t="s">
        <v>26</v>
      </c>
      <c r="H1375">
        <v>1</v>
      </c>
      <c r="I1375">
        <v>1</v>
      </c>
      <c r="J1375">
        <v>1</v>
      </c>
      <c r="K1375">
        <v>1</v>
      </c>
      <c r="L1375">
        <v>553.37</v>
      </c>
      <c r="M1375">
        <v>0</v>
      </c>
      <c r="N1375">
        <v>0</v>
      </c>
      <c r="O1375">
        <v>5</v>
      </c>
      <c r="P1375">
        <v>46.3</v>
      </c>
    </row>
    <row r="1376" spans="1:16">
      <c r="A1376" t="s">
        <v>180</v>
      </c>
      <c r="B1376" s="2">
        <v>45685</v>
      </c>
      <c r="C1376" t="s">
        <v>17</v>
      </c>
      <c r="D1376" t="s">
        <v>18</v>
      </c>
      <c r="E1376" t="s">
        <v>24</v>
      </c>
      <c r="F1376" t="s">
        <v>25</v>
      </c>
      <c r="G1376" t="s">
        <v>26</v>
      </c>
      <c r="H1376">
        <v>1</v>
      </c>
      <c r="I1376">
        <v>1</v>
      </c>
      <c r="J1376">
        <v>1</v>
      </c>
      <c r="K1376">
        <v>1</v>
      </c>
      <c r="L1376">
        <v>577.94000000000005</v>
      </c>
      <c r="M1376">
        <v>0</v>
      </c>
      <c r="N1376">
        <v>0</v>
      </c>
      <c r="O1376">
        <v>9</v>
      </c>
      <c r="P1376">
        <v>76.599999999999994</v>
      </c>
    </row>
    <row r="1377" spans="1:16">
      <c r="A1377" t="s">
        <v>760</v>
      </c>
      <c r="B1377" s="2">
        <v>45659</v>
      </c>
      <c r="C1377" t="s">
        <v>723</v>
      </c>
      <c r="D1377" t="s">
        <v>32</v>
      </c>
      <c r="E1377" t="s">
        <v>24</v>
      </c>
      <c r="F1377" t="s">
        <v>29</v>
      </c>
      <c r="G1377" t="s">
        <v>26</v>
      </c>
      <c r="H1377">
        <v>1</v>
      </c>
      <c r="I1377">
        <v>1</v>
      </c>
      <c r="J1377">
        <v>1</v>
      </c>
      <c r="K1377">
        <v>1</v>
      </c>
      <c r="L1377">
        <v>604.09</v>
      </c>
      <c r="M1377">
        <v>0</v>
      </c>
      <c r="N1377">
        <v>0</v>
      </c>
      <c r="O1377">
        <v>7</v>
      </c>
      <c r="P1377">
        <v>47.1</v>
      </c>
    </row>
    <row r="1378" spans="1:16">
      <c r="A1378" t="s">
        <v>1269</v>
      </c>
      <c r="B1378" s="2">
        <v>45682</v>
      </c>
      <c r="C1378" t="s">
        <v>723</v>
      </c>
      <c r="D1378" t="s">
        <v>23</v>
      </c>
      <c r="E1378" t="s">
        <v>19</v>
      </c>
      <c r="F1378" t="s">
        <v>20</v>
      </c>
      <c r="G1378" t="s">
        <v>26</v>
      </c>
      <c r="H1378">
        <v>1</v>
      </c>
      <c r="I1378">
        <v>1</v>
      </c>
      <c r="J1378">
        <v>1</v>
      </c>
      <c r="K1378">
        <v>1</v>
      </c>
      <c r="L1378">
        <v>618.91</v>
      </c>
      <c r="M1378">
        <v>0</v>
      </c>
      <c r="N1378">
        <v>0</v>
      </c>
      <c r="O1378">
        <v>4</v>
      </c>
      <c r="P1378">
        <v>67.8</v>
      </c>
    </row>
    <row r="1379" spans="1:16">
      <c r="A1379" t="s">
        <v>1411</v>
      </c>
      <c r="B1379" s="2">
        <v>45705</v>
      </c>
      <c r="C1379" t="s">
        <v>723</v>
      </c>
      <c r="D1379" t="s">
        <v>18</v>
      </c>
      <c r="E1379" t="s">
        <v>34</v>
      </c>
      <c r="F1379" t="s">
        <v>41</v>
      </c>
      <c r="G1379" t="s">
        <v>21</v>
      </c>
      <c r="H1379">
        <v>1</v>
      </c>
      <c r="I1379">
        <v>1</v>
      </c>
      <c r="J1379">
        <v>1</v>
      </c>
      <c r="K1379">
        <v>1</v>
      </c>
      <c r="L1379">
        <v>751.33</v>
      </c>
      <c r="M1379">
        <v>0</v>
      </c>
      <c r="N1379">
        <v>0</v>
      </c>
      <c r="O1379">
        <v>9</v>
      </c>
      <c r="P1379">
        <v>34</v>
      </c>
    </row>
    <row r="1380" spans="1:16">
      <c r="A1380" t="s">
        <v>625</v>
      </c>
      <c r="B1380" s="2">
        <v>45726</v>
      </c>
      <c r="C1380" t="s">
        <v>17</v>
      </c>
      <c r="D1380" t="s">
        <v>32</v>
      </c>
      <c r="E1380" t="s">
        <v>24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751.73</v>
      </c>
      <c r="M1380">
        <v>0</v>
      </c>
      <c r="N1380">
        <v>0</v>
      </c>
      <c r="O1380">
        <v>6</v>
      </c>
      <c r="P1380">
        <v>35.200000000000003</v>
      </c>
    </row>
    <row r="1381" spans="1:16">
      <c r="A1381" t="s">
        <v>1109</v>
      </c>
      <c r="B1381" s="2">
        <v>45724</v>
      </c>
      <c r="C1381" t="s">
        <v>723</v>
      </c>
      <c r="D1381" t="s">
        <v>18</v>
      </c>
      <c r="E1381" t="s">
        <v>34</v>
      </c>
      <c r="F1381" t="s">
        <v>25</v>
      </c>
      <c r="G1381" t="s">
        <v>21</v>
      </c>
      <c r="H1381">
        <v>1</v>
      </c>
      <c r="I1381">
        <v>1</v>
      </c>
      <c r="J1381">
        <v>1</v>
      </c>
      <c r="K1381">
        <v>1</v>
      </c>
      <c r="L1381">
        <v>774.78</v>
      </c>
      <c r="M1381">
        <v>0</v>
      </c>
      <c r="N1381">
        <v>0</v>
      </c>
      <c r="O1381">
        <v>3</v>
      </c>
      <c r="P1381">
        <v>46.8</v>
      </c>
    </row>
    <row r="1382" spans="1:16">
      <c r="A1382" t="s">
        <v>857</v>
      </c>
      <c r="B1382" s="2">
        <v>45798</v>
      </c>
      <c r="C1382" t="s">
        <v>723</v>
      </c>
      <c r="D1382" t="s">
        <v>23</v>
      </c>
      <c r="E1382" t="s">
        <v>24</v>
      </c>
      <c r="F1382" t="s">
        <v>39</v>
      </c>
      <c r="G1382" t="s">
        <v>21</v>
      </c>
      <c r="H1382">
        <v>1</v>
      </c>
      <c r="I1382">
        <v>1</v>
      </c>
      <c r="J1382">
        <v>1</v>
      </c>
      <c r="K1382">
        <v>1</v>
      </c>
      <c r="L1382">
        <v>782.23</v>
      </c>
      <c r="M1382">
        <v>1</v>
      </c>
      <c r="N1382">
        <v>0</v>
      </c>
      <c r="O1382">
        <v>6</v>
      </c>
      <c r="P1382">
        <v>93.2</v>
      </c>
    </row>
    <row r="1383" spans="1:16">
      <c r="A1383" t="s">
        <v>366</v>
      </c>
      <c r="B1383" s="2">
        <v>45673</v>
      </c>
      <c r="C1383" t="s">
        <v>17</v>
      </c>
      <c r="D1383" t="s">
        <v>32</v>
      </c>
      <c r="E1383" t="s">
        <v>24</v>
      </c>
      <c r="F1383" t="s">
        <v>20</v>
      </c>
      <c r="G1383" t="s">
        <v>21</v>
      </c>
      <c r="H1383">
        <v>1</v>
      </c>
      <c r="I1383">
        <v>1</v>
      </c>
      <c r="J1383">
        <v>1</v>
      </c>
      <c r="K1383">
        <v>1</v>
      </c>
      <c r="L1383">
        <v>874.55</v>
      </c>
      <c r="M1383">
        <v>0</v>
      </c>
      <c r="N1383">
        <v>0</v>
      </c>
      <c r="O1383">
        <v>9</v>
      </c>
      <c r="P1383">
        <v>44.2</v>
      </c>
    </row>
    <row r="1384" spans="1:16">
      <c r="A1384" t="s">
        <v>1174</v>
      </c>
      <c r="B1384" s="2">
        <v>45778</v>
      </c>
      <c r="C1384" t="s">
        <v>723</v>
      </c>
      <c r="D1384" t="s">
        <v>28</v>
      </c>
      <c r="E1384" t="s">
        <v>24</v>
      </c>
      <c r="F1384" t="s">
        <v>41</v>
      </c>
      <c r="G1384" t="s">
        <v>21</v>
      </c>
      <c r="H1384">
        <v>1</v>
      </c>
      <c r="I1384">
        <v>1</v>
      </c>
      <c r="J1384">
        <v>1</v>
      </c>
      <c r="K1384">
        <v>1</v>
      </c>
      <c r="L1384">
        <v>921.72</v>
      </c>
      <c r="M1384">
        <v>3</v>
      </c>
      <c r="N1384">
        <v>0</v>
      </c>
      <c r="O1384">
        <v>7</v>
      </c>
      <c r="P1384">
        <v>74.599999999999994</v>
      </c>
    </row>
    <row r="1385" spans="1:16">
      <c r="A1385" t="s">
        <v>1283</v>
      </c>
      <c r="B1385" s="2">
        <v>45689</v>
      </c>
      <c r="C1385" t="s">
        <v>723</v>
      </c>
      <c r="D1385" t="s">
        <v>28</v>
      </c>
      <c r="E1385" t="s">
        <v>24</v>
      </c>
      <c r="F1385" t="s">
        <v>25</v>
      </c>
      <c r="G1385" t="s">
        <v>21</v>
      </c>
      <c r="H1385">
        <v>1</v>
      </c>
      <c r="I1385">
        <v>1</v>
      </c>
      <c r="J1385">
        <v>1</v>
      </c>
      <c r="K1385">
        <v>1</v>
      </c>
      <c r="L1385">
        <v>923.67</v>
      </c>
      <c r="M1385">
        <v>0</v>
      </c>
      <c r="N1385">
        <v>0</v>
      </c>
      <c r="O1385">
        <v>4</v>
      </c>
      <c r="P1385">
        <v>81.900000000000006</v>
      </c>
    </row>
    <row r="1386" spans="1:16">
      <c r="A1386" t="s">
        <v>1428</v>
      </c>
      <c r="B1386" s="2">
        <v>45699</v>
      </c>
      <c r="C1386" t="s">
        <v>723</v>
      </c>
      <c r="D1386" t="s">
        <v>32</v>
      </c>
      <c r="E1386" t="s">
        <v>24</v>
      </c>
      <c r="G1386" t="s">
        <v>30</v>
      </c>
      <c r="H1386">
        <v>1</v>
      </c>
      <c r="I1386">
        <v>1</v>
      </c>
      <c r="J1386">
        <v>1</v>
      </c>
      <c r="K1386">
        <v>1</v>
      </c>
      <c r="L1386">
        <v>1009.9</v>
      </c>
      <c r="M1386">
        <v>0</v>
      </c>
      <c r="N1386">
        <v>0</v>
      </c>
      <c r="O1386">
        <v>6</v>
      </c>
      <c r="P1386">
        <v>89.7</v>
      </c>
    </row>
    <row r="1387" spans="1:16">
      <c r="A1387" t="s">
        <v>865</v>
      </c>
      <c r="B1387" s="2">
        <v>45749</v>
      </c>
      <c r="C1387" t="s">
        <v>723</v>
      </c>
      <c r="D1387" t="s">
        <v>18</v>
      </c>
      <c r="E1387" t="s">
        <v>19</v>
      </c>
      <c r="F1387" t="s">
        <v>25</v>
      </c>
      <c r="G1387" t="s">
        <v>21</v>
      </c>
      <c r="H1387">
        <v>1</v>
      </c>
      <c r="I1387">
        <v>1</v>
      </c>
      <c r="J1387">
        <v>1</v>
      </c>
      <c r="K1387">
        <v>1</v>
      </c>
      <c r="L1387">
        <v>1010.4</v>
      </c>
      <c r="M1387">
        <v>0</v>
      </c>
      <c r="N1387">
        <v>0</v>
      </c>
      <c r="O1387">
        <v>4</v>
      </c>
      <c r="P1387">
        <v>42.9</v>
      </c>
    </row>
    <row r="1388" spans="1:16">
      <c r="A1388" t="s">
        <v>228</v>
      </c>
      <c r="B1388" s="2">
        <v>45715</v>
      </c>
      <c r="C1388" t="s">
        <v>17</v>
      </c>
      <c r="D1388" t="s">
        <v>18</v>
      </c>
      <c r="E1388" t="s">
        <v>24</v>
      </c>
      <c r="F1388" t="s">
        <v>41</v>
      </c>
      <c r="G1388" t="s">
        <v>21</v>
      </c>
      <c r="H1388">
        <v>1</v>
      </c>
      <c r="I1388">
        <v>1</v>
      </c>
      <c r="J1388">
        <v>1</v>
      </c>
      <c r="K1388">
        <v>1</v>
      </c>
      <c r="L1388">
        <v>1052.8</v>
      </c>
      <c r="M1388">
        <v>2</v>
      </c>
      <c r="N1388">
        <v>0</v>
      </c>
      <c r="O1388">
        <v>6</v>
      </c>
      <c r="P1388">
        <v>64.7</v>
      </c>
    </row>
    <row r="1389" spans="1:16">
      <c r="A1389" t="s">
        <v>1258</v>
      </c>
      <c r="B1389" s="2">
        <v>45702</v>
      </c>
      <c r="C1389" t="s">
        <v>723</v>
      </c>
      <c r="D1389" t="s">
        <v>18</v>
      </c>
      <c r="E1389" t="s">
        <v>34</v>
      </c>
      <c r="F1389" t="s">
        <v>29</v>
      </c>
      <c r="G1389" t="s">
        <v>21</v>
      </c>
      <c r="H1389">
        <v>1</v>
      </c>
      <c r="I1389">
        <v>1</v>
      </c>
      <c r="J1389">
        <v>1</v>
      </c>
      <c r="K1389">
        <v>1</v>
      </c>
      <c r="L1389">
        <v>1074.1600000000001</v>
      </c>
      <c r="M1389">
        <v>0</v>
      </c>
      <c r="N1389">
        <v>0</v>
      </c>
      <c r="O1389">
        <v>8</v>
      </c>
      <c r="P1389">
        <v>83.7</v>
      </c>
    </row>
    <row r="1390" spans="1:16">
      <c r="A1390" t="s">
        <v>891</v>
      </c>
      <c r="B1390" s="2">
        <v>45769</v>
      </c>
      <c r="C1390" t="s">
        <v>723</v>
      </c>
      <c r="D1390" t="s">
        <v>18</v>
      </c>
      <c r="E1390" t="s">
        <v>24</v>
      </c>
      <c r="F1390" t="s">
        <v>20</v>
      </c>
      <c r="G1390" t="s">
        <v>21</v>
      </c>
      <c r="H1390">
        <v>1</v>
      </c>
      <c r="I1390">
        <v>1</v>
      </c>
      <c r="J1390">
        <v>1</v>
      </c>
      <c r="K1390">
        <v>1</v>
      </c>
      <c r="L1390">
        <v>1117.54</v>
      </c>
      <c r="M1390">
        <v>0</v>
      </c>
      <c r="N1390">
        <v>0</v>
      </c>
      <c r="O1390">
        <v>6</v>
      </c>
      <c r="P1390">
        <v>60.4</v>
      </c>
    </row>
    <row r="1391" spans="1:16">
      <c r="A1391" t="s">
        <v>862</v>
      </c>
      <c r="B1391" s="2">
        <v>45771</v>
      </c>
      <c r="C1391" t="s">
        <v>723</v>
      </c>
      <c r="D1391" t="s">
        <v>18</v>
      </c>
      <c r="E1391" t="s">
        <v>24</v>
      </c>
      <c r="F1391" t="s">
        <v>25</v>
      </c>
      <c r="G1391" t="s">
        <v>21</v>
      </c>
      <c r="H1391">
        <v>1</v>
      </c>
      <c r="I1391">
        <v>1</v>
      </c>
      <c r="J1391">
        <v>1</v>
      </c>
      <c r="K1391">
        <v>1</v>
      </c>
      <c r="L1391">
        <v>1171.99</v>
      </c>
      <c r="M1391">
        <v>0</v>
      </c>
      <c r="N1391">
        <v>0</v>
      </c>
      <c r="O1391">
        <v>5</v>
      </c>
      <c r="P1391">
        <v>80.599999999999994</v>
      </c>
    </row>
    <row r="1392" spans="1:16">
      <c r="A1392" t="s">
        <v>331</v>
      </c>
      <c r="B1392" s="2">
        <v>45681</v>
      </c>
      <c r="C1392" t="s">
        <v>17</v>
      </c>
      <c r="D1392" t="s">
        <v>32</v>
      </c>
      <c r="E1392" t="s">
        <v>24</v>
      </c>
      <c r="G1392" t="s">
        <v>21</v>
      </c>
      <c r="H1392">
        <v>1</v>
      </c>
      <c r="I1392">
        <v>1</v>
      </c>
      <c r="J1392">
        <v>1</v>
      </c>
      <c r="K1392">
        <v>1</v>
      </c>
      <c r="L1392">
        <v>1198.69</v>
      </c>
      <c r="M1392">
        <v>1</v>
      </c>
      <c r="N1392">
        <v>0</v>
      </c>
      <c r="O1392">
        <v>6</v>
      </c>
      <c r="P1392">
        <v>88.9</v>
      </c>
    </row>
    <row r="1393" spans="1:16">
      <c r="A1393" t="s">
        <v>282</v>
      </c>
      <c r="B1393" s="2">
        <v>45687</v>
      </c>
      <c r="C1393" t="s">
        <v>17</v>
      </c>
      <c r="D1393" t="s">
        <v>18</v>
      </c>
      <c r="E1393" t="s">
        <v>19</v>
      </c>
      <c r="F1393" t="s">
        <v>20</v>
      </c>
      <c r="G1393" t="s">
        <v>21</v>
      </c>
      <c r="H1393">
        <v>1</v>
      </c>
      <c r="I1393">
        <v>1</v>
      </c>
      <c r="J1393">
        <v>1</v>
      </c>
      <c r="K1393">
        <v>1</v>
      </c>
      <c r="L1393">
        <v>1250.78</v>
      </c>
      <c r="M1393">
        <v>0</v>
      </c>
      <c r="N1393">
        <v>0</v>
      </c>
      <c r="O1393">
        <v>10</v>
      </c>
      <c r="P1393">
        <v>39</v>
      </c>
    </row>
    <row r="1394" spans="1:16">
      <c r="A1394" t="s">
        <v>197</v>
      </c>
      <c r="B1394" s="2">
        <v>45773</v>
      </c>
      <c r="C1394" t="s">
        <v>17</v>
      </c>
      <c r="D1394" t="s">
        <v>18</v>
      </c>
      <c r="E1394" t="s">
        <v>19</v>
      </c>
      <c r="F1394" t="s">
        <v>29</v>
      </c>
      <c r="G1394" t="s">
        <v>21</v>
      </c>
      <c r="H1394">
        <v>1</v>
      </c>
      <c r="I1394">
        <v>1</v>
      </c>
      <c r="J1394">
        <v>1</v>
      </c>
      <c r="K1394">
        <v>1</v>
      </c>
      <c r="L1394">
        <v>1281.25</v>
      </c>
      <c r="M1394">
        <v>1</v>
      </c>
      <c r="N1394">
        <v>0</v>
      </c>
      <c r="O1394">
        <v>9</v>
      </c>
      <c r="P1394">
        <v>43.4</v>
      </c>
    </row>
    <row r="1395" spans="1:16">
      <c r="A1395" t="s">
        <v>1329</v>
      </c>
      <c r="B1395" s="2">
        <v>45808</v>
      </c>
      <c r="C1395" t="s">
        <v>723</v>
      </c>
      <c r="D1395" t="s">
        <v>32</v>
      </c>
      <c r="E1395" t="s">
        <v>19</v>
      </c>
      <c r="F1395" t="s">
        <v>39</v>
      </c>
      <c r="G1395" t="s">
        <v>30</v>
      </c>
      <c r="H1395">
        <v>1</v>
      </c>
      <c r="I1395">
        <v>1</v>
      </c>
      <c r="J1395">
        <v>1</v>
      </c>
      <c r="K1395">
        <v>1</v>
      </c>
      <c r="L1395">
        <v>1496.09</v>
      </c>
      <c r="M1395">
        <v>0</v>
      </c>
      <c r="N1395">
        <v>0</v>
      </c>
      <c r="O1395">
        <v>7</v>
      </c>
      <c r="P1395">
        <v>60.4</v>
      </c>
    </row>
    <row r="1396" spans="1:16">
      <c r="A1396" t="s">
        <v>790</v>
      </c>
      <c r="B1396" s="2">
        <v>45786</v>
      </c>
      <c r="C1396" t="s">
        <v>723</v>
      </c>
      <c r="D1396" t="s">
        <v>28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1</v>
      </c>
      <c r="L1396">
        <v>1506.24</v>
      </c>
      <c r="M1396">
        <v>1</v>
      </c>
      <c r="N1396">
        <v>0</v>
      </c>
      <c r="O1396">
        <v>7</v>
      </c>
      <c r="P1396">
        <v>64.900000000000006</v>
      </c>
    </row>
    <row r="1397" spans="1:16">
      <c r="A1397" t="s">
        <v>471</v>
      </c>
      <c r="B1397" s="2">
        <v>45748</v>
      </c>
      <c r="C1397" t="s">
        <v>17</v>
      </c>
      <c r="D1397" t="s">
        <v>28</v>
      </c>
      <c r="E1397" t="s">
        <v>24</v>
      </c>
      <c r="F1397" t="s">
        <v>41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1518.83</v>
      </c>
      <c r="M1397">
        <v>0</v>
      </c>
      <c r="N1397">
        <v>0</v>
      </c>
      <c r="O1397">
        <v>9</v>
      </c>
      <c r="P1397">
        <v>32.200000000000003</v>
      </c>
    </row>
    <row r="1398" spans="1:16">
      <c r="A1398" t="s">
        <v>1200</v>
      </c>
      <c r="B1398" s="2">
        <v>45713</v>
      </c>
      <c r="C1398" t="s">
        <v>723</v>
      </c>
      <c r="D1398" t="s">
        <v>23</v>
      </c>
      <c r="E1398" t="s">
        <v>24</v>
      </c>
      <c r="F1398" t="s">
        <v>39</v>
      </c>
      <c r="G1398" t="s">
        <v>30</v>
      </c>
      <c r="H1398">
        <v>1</v>
      </c>
      <c r="I1398">
        <v>1</v>
      </c>
      <c r="J1398">
        <v>1</v>
      </c>
      <c r="K1398">
        <v>1</v>
      </c>
      <c r="L1398">
        <v>1547.06</v>
      </c>
      <c r="M1398">
        <v>0</v>
      </c>
      <c r="N1398">
        <v>1</v>
      </c>
      <c r="O1398">
        <v>2</v>
      </c>
      <c r="P1398">
        <v>72.900000000000006</v>
      </c>
    </row>
    <row r="1399" spans="1:16">
      <c r="A1399" t="s">
        <v>1025</v>
      </c>
      <c r="B1399" s="2">
        <v>45686</v>
      </c>
      <c r="C1399" t="s">
        <v>723</v>
      </c>
      <c r="D1399" t="s">
        <v>28</v>
      </c>
      <c r="E1399" t="s">
        <v>24</v>
      </c>
      <c r="F1399" t="s">
        <v>29</v>
      </c>
      <c r="G1399" t="s">
        <v>26</v>
      </c>
      <c r="H1399">
        <v>1</v>
      </c>
      <c r="I1399">
        <v>1</v>
      </c>
      <c r="J1399">
        <v>1</v>
      </c>
      <c r="K1399">
        <v>1</v>
      </c>
      <c r="L1399">
        <v>1772.97</v>
      </c>
      <c r="M1399">
        <v>0</v>
      </c>
      <c r="N1399">
        <v>0</v>
      </c>
      <c r="O1399">
        <v>8</v>
      </c>
      <c r="P1399">
        <v>61.2</v>
      </c>
    </row>
    <row r="1400" spans="1:16">
      <c r="A1400" t="s">
        <v>1179</v>
      </c>
      <c r="B1400" s="2">
        <v>45779</v>
      </c>
      <c r="C1400" t="s">
        <v>723</v>
      </c>
      <c r="D1400" t="s">
        <v>32</v>
      </c>
      <c r="E1400" t="s">
        <v>24</v>
      </c>
      <c r="F1400" t="s">
        <v>41</v>
      </c>
      <c r="G1400" t="s">
        <v>30</v>
      </c>
      <c r="H1400">
        <v>1</v>
      </c>
      <c r="I1400">
        <v>1</v>
      </c>
      <c r="J1400">
        <v>1</v>
      </c>
      <c r="K1400">
        <v>1</v>
      </c>
      <c r="L1400">
        <v>1858.85</v>
      </c>
      <c r="M1400">
        <v>0</v>
      </c>
      <c r="N1400">
        <v>0</v>
      </c>
      <c r="O1400">
        <v>8</v>
      </c>
      <c r="P1400">
        <v>88.6</v>
      </c>
    </row>
    <row r="1401" spans="1:16">
      <c r="A1401" t="s">
        <v>1057</v>
      </c>
      <c r="B1401" s="2">
        <v>45750</v>
      </c>
      <c r="C1401" t="s">
        <v>723</v>
      </c>
      <c r="D1401" t="s">
        <v>18</v>
      </c>
      <c r="E1401" t="s">
        <v>24</v>
      </c>
      <c r="F1401" t="s">
        <v>41</v>
      </c>
      <c r="G1401" t="s">
        <v>30</v>
      </c>
      <c r="H1401">
        <v>1</v>
      </c>
      <c r="I1401">
        <v>1</v>
      </c>
      <c r="J1401">
        <v>1</v>
      </c>
      <c r="K1401">
        <v>1</v>
      </c>
      <c r="L1401">
        <v>1906.23</v>
      </c>
      <c r="M1401">
        <v>0</v>
      </c>
      <c r="N1401">
        <v>0</v>
      </c>
      <c r="O1401">
        <v>4</v>
      </c>
      <c r="P1401">
        <v>84.6</v>
      </c>
    </row>
    <row r="1402" spans="1:16">
      <c r="A1402" t="s">
        <v>1044</v>
      </c>
      <c r="B1402" s="2">
        <v>45664</v>
      </c>
      <c r="C1402" t="s">
        <v>723</v>
      </c>
      <c r="D1402" t="s">
        <v>18</v>
      </c>
      <c r="E1402" t="s">
        <v>19</v>
      </c>
      <c r="F1402" t="s">
        <v>25</v>
      </c>
      <c r="G1402" t="s">
        <v>30</v>
      </c>
      <c r="H1402">
        <v>1</v>
      </c>
      <c r="I1402">
        <v>1</v>
      </c>
      <c r="J1402">
        <v>1</v>
      </c>
      <c r="K1402">
        <v>1</v>
      </c>
      <c r="L1402">
        <v>1938.31</v>
      </c>
      <c r="M1402">
        <v>1</v>
      </c>
      <c r="N1402">
        <v>0</v>
      </c>
      <c r="O1402">
        <v>9</v>
      </c>
      <c r="P1402">
        <v>60.9</v>
      </c>
    </row>
    <row r="1403" spans="1:16">
      <c r="A1403" t="s">
        <v>921</v>
      </c>
      <c r="B1403" s="2">
        <v>45730</v>
      </c>
      <c r="C1403" t="s">
        <v>723</v>
      </c>
      <c r="D1403" t="s">
        <v>18</v>
      </c>
      <c r="E1403" t="s">
        <v>24</v>
      </c>
      <c r="F1403" t="s">
        <v>39</v>
      </c>
      <c r="G1403" t="s">
        <v>26</v>
      </c>
      <c r="H1403">
        <v>1</v>
      </c>
      <c r="I1403">
        <v>1</v>
      </c>
      <c r="J1403">
        <v>1</v>
      </c>
      <c r="K1403">
        <v>1</v>
      </c>
      <c r="L1403">
        <v>2064.5500000000002</v>
      </c>
      <c r="M1403">
        <v>0</v>
      </c>
      <c r="N1403">
        <v>0</v>
      </c>
      <c r="O1403">
        <v>1</v>
      </c>
      <c r="P1403">
        <v>67.8</v>
      </c>
    </row>
    <row r="1404" spans="1:16">
      <c r="A1404" t="s">
        <v>442</v>
      </c>
      <c r="B1404" s="2">
        <v>45723</v>
      </c>
      <c r="C1404" t="s">
        <v>17</v>
      </c>
      <c r="D1404" t="s">
        <v>18</v>
      </c>
      <c r="E1404" t="s">
        <v>24</v>
      </c>
      <c r="F1404" t="s">
        <v>39</v>
      </c>
      <c r="G1404" t="s">
        <v>30</v>
      </c>
      <c r="H1404">
        <v>1</v>
      </c>
      <c r="I1404">
        <v>1</v>
      </c>
      <c r="J1404">
        <v>1</v>
      </c>
      <c r="K1404">
        <v>1</v>
      </c>
      <c r="L1404">
        <v>2144.8200000000002</v>
      </c>
      <c r="M1404">
        <v>0</v>
      </c>
      <c r="N1404">
        <v>0</v>
      </c>
      <c r="O1404">
        <v>6</v>
      </c>
      <c r="P1404">
        <v>52.3</v>
      </c>
    </row>
    <row r="1405" spans="1:16">
      <c r="A1405" t="s">
        <v>367</v>
      </c>
      <c r="B1405" s="2">
        <v>45699</v>
      </c>
      <c r="C1405" t="s">
        <v>17</v>
      </c>
      <c r="D1405" t="s">
        <v>32</v>
      </c>
      <c r="E1405" t="s">
        <v>19</v>
      </c>
      <c r="F1405" t="s">
        <v>25</v>
      </c>
      <c r="G1405" t="s">
        <v>30</v>
      </c>
      <c r="H1405">
        <v>1</v>
      </c>
      <c r="I1405">
        <v>1</v>
      </c>
      <c r="J1405">
        <v>1</v>
      </c>
      <c r="K1405">
        <v>1</v>
      </c>
      <c r="L1405">
        <v>2206.88</v>
      </c>
      <c r="M1405">
        <v>0</v>
      </c>
      <c r="N1405">
        <v>0</v>
      </c>
      <c r="O1405">
        <v>10</v>
      </c>
      <c r="P1405">
        <v>56.2</v>
      </c>
    </row>
    <row r="1406" spans="1:16">
      <c r="A1406" t="s">
        <v>1354</v>
      </c>
      <c r="B1406" s="2">
        <v>45735</v>
      </c>
      <c r="C1406" t="s">
        <v>723</v>
      </c>
      <c r="D1406" t="s">
        <v>23</v>
      </c>
      <c r="E1406" t="s">
        <v>24</v>
      </c>
      <c r="F1406" t="s">
        <v>25</v>
      </c>
      <c r="G1406" t="s">
        <v>26</v>
      </c>
      <c r="H1406">
        <v>1</v>
      </c>
      <c r="I1406">
        <v>1</v>
      </c>
      <c r="J1406">
        <v>1</v>
      </c>
      <c r="K1406">
        <v>1</v>
      </c>
      <c r="L1406">
        <v>2660.21</v>
      </c>
      <c r="M1406">
        <v>0</v>
      </c>
      <c r="N1406">
        <v>0</v>
      </c>
      <c r="O1406">
        <v>3</v>
      </c>
      <c r="P1406">
        <v>73.900000000000006</v>
      </c>
    </row>
    <row r="1407" spans="1:16">
      <c r="A1407" t="s">
        <v>134</v>
      </c>
      <c r="B1407" s="2">
        <v>45761</v>
      </c>
      <c r="C1407" t="s">
        <v>17</v>
      </c>
      <c r="D1407" t="s">
        <v>18</v>
      </c>
      <c r="E1407" t="s">
        <v>19</v>
      </c>
      <c r="F1407" t="s">
        <v>41</v>
      </c>
      <c r="G1407" t="s">
        <v>26</v>
      </c>
      <c r="H1407">
        <v>1</v>
      </c>
      <c r="I1407">
        <v>1</v>
      </c>
      <c r="J1407">
        <v>1</v>
      </c>
      <c r="K1407">
        <v>1</v>
      </c>
      <c r="L1407">
        <v>3887.98</v>
      </c>
      <c r="M1407">
        <v>0</v>
      </c>
      <c r="N1407">
        <v>0</v>
      </c>
      <c r="O1407">
        <v>13</v>
      </c>
      <c r="P1407">
        <v>60.2</v>
      </c>
    </row>
    <row r="1408" spans="1:16">
      <c r="A1408" t="s">
        <v>334</v>
      </c>
      <c r="B1408" s="2">
        <v>45714</v>
      </c>
      <c r="C1408" t="s">
        <v>17</v>
      </c>
      <c r="D1408" t="s">
        <v>18</v>
      </c>
      <c r="E1408" t="s">
        <v>19</v>
      </c>
      <c r="F1408" t="s">
        <v>25</v>
      </c>
      <c r="G1408" t="s">
        <v>21</v>
      </c>
      <c r="H1408">
        <v>1</v>
      </c>
      <c r="I1408">
        <v>1</v>
      </c>
      <c r="J1408">
        <v>1</v>
      </c>
      <c r="K1408">
        <v>1</v>
      </c>
      <c r="L1408">
        <v>6788.95</v>
      </c>
      <c r="M1408">
        <v>0</v>
      </c>
      <c r="N1408">
        <v>0</v>
      </c>
      <c r="O1408">
        <v>17</v>
      </c>
      <c r="P1408">
        <v>58.4</v>
      </c>
    </row>
    <row r="1409" spans="1:16">
      <c r="A1409" t="s">
        <v>137</v>
      </c>
      <c r="B1409" s="2">
        <v>45682</v>
      </c>
      <c r="C1409" t="s">
        <v>17</v>
      </c>
      <c r="D1409" t="s">
        <v>32</v>
      </c>
      <c r="E1409" t="s">
        <v>24</v>
      </c>
      <c r="F1409" t="s">
        <v>41</v>
      </c>
      <c r="G1409" t="s">
        <v>21</v>
      </c>
      <c r="H1409">
        <v>1</v>
      </c>
      <c r="I1409">
        <v>1</v>
      </c>
      <c r="J1409">
        <v>1</v>
      </c>
      <c r="K1409">
        <v>1</v>
      </c>
      <c r="L1409">
        <v>8610.7199999999993</v>
      </c>
      <c r="M1409">
        <v>0</v>
      </c>
      <c r="N1409">
        <v>0</v>
      </c>
      <c r="O1409">
        <v>6</v>
      </c>
      <c r="P1409">
        <v>61</v>
      </c>
    </row>
  </sheetData>
  <autoFilter ref="A1:P1409" xr:uid="{00000000-0001-0000-0000-000000000000}"/>
  <sortState xmlns:xlrd2="http://schemas.microsoft.com/office/spreadsheetml/2017/richdata2" ref="A2:P1409">
    <sortCondition ref="L2:L1409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4"/>
  <cols>
    <col min="1" max="2" width="28" customWidth="1"/>
  </cols>
  <sheetData>
    <row r="1" spans="1:2" ht="37.25" customHeight="1">
      <c r="A1" s="1" t="s">
        <v>1433</v>
      </c>
      <c r="B1" s="1" t="s">
        <v>1434</v>
      </c>
    </row>
    <row r="2" spans="1:2" ht="60">
      <c r="A2" s="3" t="s">
        <v>1435</v>
      </c>
      <c r="B2" s="3" t="s">
        <v>1436</v>
      </c>
    </row>
    <row r="3" spans="1:2" ht="15">
      <c r="A3" s="3" t="s">
        <v>17</v>
      </c>
      <c r="B3" s="3" t="s">
        <v>1437</v>
      </c>
    </row>
    <row r="4" spans="1:2" ht="15">
      <c r="A4" s="3" t="s">
        <v>723</v>
      </c>
      <c r="B4" s="3" t="s">
        <v>1438</v>
      </c>
    </row>
    <row r="5" spans="1:2" ht="45">
      <c r="A5" s="3" t="s">
        <v>1439</v>
      </c>
      <c r="B5" s="3" t="s">
        <v>1440</v>
      </c>
    </row>
    <row r="6" spans="1:2" ht="30">
      <c r="A6" s="3" t="s">
        <v>7</v>
      </c>
      <c r="B6" s="3" t="s">
        <v>1441</v>
      </c>
    </row>
    <row r="7" spans="1:2" ht="30">
      <c r="A7" s="3" t="s">
        <v>8</v>
      </c>
      <c r="B7" s="3" t="s">
        <v>1442</v>
      </c>
    </row>
    <row r="8" spans="1:2" ht="30">
      <c r="A8" s="3" t="s">
        <v>9</v>
      </c>
      <c r="B8" s="3" t="s">
        <v>1443</v>
      </c>
    </row>
    <row r="9" spans="1:2" ht="30">
      <c r="A9" s="3" t="s">
        <v>10</v>
      </c>
      <c r="B9" s="3" t="s">
        <v>1444</v>
      </c>
    </row>
    <row r="10" spans="1:2" ht="30">
      <c r="A10" s="3" t="s">
        <v>11</v>
      </c>
      <c r="B10" s="3" t="s">
        <v>1445</v>
      </c>
    </row>
    <row r="11" spans="1:2" ht="30">
      <c r="A11" s="3" t="s">
        <v>12</v>
      </c>
      <c r="B11" s="3" t="s">
        <v>1446</v>
      </c>
    </row>
    <row r="12" spans="1:2" ht="30">
      <c r="A12" s="3" t="s">
        <v>13</v>
      </c>
      <c r="B12" s="3" t="s">
        <v>1447</v>
      </c>
    </row>
    <row r="13" spans="1:2" ht="30">
      <c r="A13" s="3" t="s">
        <v>15</v>
      </c>
      <c r="B13" s="3" t="s">
        <v>1448</v>
      </c>
    </row>
    <row r="14" spans="1:2" ht="60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7873-D00E-B049-B68D-16F8D0FE9522}">
  <dimension ref="A1:E28"/>
  <sheetViews>
    <sheetView zoomScale="58" zoomScaleNormal="226" workbookViewId="0">
      <selection activeCell="C5" sqref="C5"/>
    </sheetView>
  </sheetViews>
  <sheetFormatPr baseColWidth="10" defaultRowHeight="20"/>
  <cols>
    <col min="1" max="1" width="37.1640625" style="4" customWidth="1"/>
    <col min="2" max="2" width="60.5" style="4" customWidth="1"/>
    <col min="3" max="3" width="83.1640625" style="4" customWidth="1"/>
    <col min="4" max="4" width="139" style="4" customWidth="1"/>
    <col min="5" max="16384" width="10.83203125" style="4"/>
  </cols>
  <sheetData>
    <row r="1" spans="1:5" ht="45">
      <c r="A1" s="22" t="s">
        <v>1451</v>
      </c>
      <c r="B1" s="23" t="s">
        <v>1452</v>
      </c>
      <c r="C1" s="23" t="s">
        <v>1458</v>
      </c>
      <c r="D1" s="24" t="s">
        <v>1459</v>
      </c>
    </row>
    <row r="2" spans="1:5" ht="170">
      <c r="A2" s="11" t="s">
        <v>1453</v>
      </c>
      <c r="B2" s="12" t="s">
        <v>1461</v>
      </c>
      <c r="C2" s="13" t="s">
        <v>1471</v>
      </c>
      <c r="D2" s="14" t="s">
        <v>1472</v>
      </c>
    </row>
    <row r="3" spans="1:5" ht="102">
      <c r="A3" s="11" t="s">
        <v>1454</v>
      </c>
      <c r="B3" s="15" t="s">
        <v>1487</v>
      </c>
      <c r="C3" s="13" t="s">
        <v>1475</v>
      </c>
      <c r="D3" s="16" t="s">
        <v>1462</v>
      </c>
    </row>
    <row r="4" spans="1:5" ht="68">
      <c r="A4" s="11" t="s">
        <v>1455</v>
      </c>
      <c r="B4" s="12" t="s">
        <v>1463</v>
      </c>
      <c r="C4" s="17" t="s">
        <v>1488</v>
      </c>
      <c r="D4" s="14" t="s">
        <v>1464</v>
      </c>
    </row>
    <row r="5" spans="1:5" ht="170">
      <c r="A5" s="11" t="s">
        <v>1460</v>
      </c>
      <c r="B5" s="12" t="s">
        <v>1476</v>
      </c>
      <c r="C5" s="13" t="s">
        <v>1477</v>
      </c>
      <c r="D5" s="16" t="s">
        <v>1462</v>
      </c>
    </row>
    <row r="6" spans="1:5" ht="102">
      <c r="A6" s="11" t="s">
        <v>1456</v>
      </c>
      <c r="B6" s="12" t="s">
        <v>1480</v>
      </c>
      <c r="C6" s="13" t="s">
        <v>1481</v>
      </c>
      <c r="D6" s="14" t="s">
        <v>1482</v>
      </c>
    </row>
    <row r="7" spans="1:5" ht="137" thickBot="1">
      <c r="A7" s="18" t="s">
        <v>1457</v>
      </c>
      <c r="B7" s="19" t="s">
        <v>1465</v>
      </c>
      <c r="C7" s="20" t="s">
        <v>1489</v>
      </c>
      <c r="D7" s="21" t="s">
        <v>1466</v>
      </c>
    </row>
    <row r="9" spans="1:5" ht="45">
      <c r="A9" s="7"/>
      <c r="B9" s="7"/>
      <c r="C9" s="7"/>
      <c r="D9" s="7"/>
      <c r="E9" s="7"/>
    </row>
    <row r="10" spans="1:5" ht="45">
      <c r="A10" s="7"/>
      <c r="B10" s="7"/>
      <c r="C10" s="7"/>
      <c r="D10" s="7"/>
      <c r="E10" s="7"/>
    </row>
    <row r="11" spans="1:5" ht="45">
      <c r="A11" s="8" t="s">
        <v>1486</v>
      </c>
      <c r="B11" s="8" t="s">
        <v>1485</v>
      </c>
      <c r="C11" s="7"/>
      <c r="D11" s="7"/>
      <c r="E11" s="7"/>
    </row>
    <row r="12" spans="1:5" ht="45">
      <c r="A12" s="8" t="s">
        <v>1483</v>
      </c>
      <c r="B12" s="7" t="s">
        <v>17</v>
      </c>
      <c r="C12" s="7" t="s">
        <v>723</v>
      </c>
      <c r="D12" s="7" t="s">
        <v>1484</v>
      </c>
      <c r="E12" s="7"/>
    </row>
    <row r="13" spans="1:5" ht="45">
      <c r="A13" s="9" t="s">
        <v>28</v>
      </c>
      <c r="B13" s="10">
        <v>158</v>
      </c>
      <c r="C13" s="10">
        <v>172</v>
      </c>
      <c r="D13" s="10">
        <v>330</v>
      </c>
      <c r="E13" s="7"/>
    </row>
    <row r="14" spans="1:5" ht="45">
      <c r="A14" s="9" t="s">
        <v>18</v>
      </c>
      <c r="B14" s="10">
        <v>203</v>
      </c>
      <c r="C14" s="10">
        <v>180</v>
      </c>
      <c r="D14" s="10">
        <v>383</v>
      </c>
      <c r="E14" s="7"/>
    </row>
    <row r="15" spans="1:5" ht="45">
      <c r="A15" s="9" t="s">
        <v>32</v>
      </c>
      <c r="B15" s="10">
        <v>184</v>
      </c>
      <c r="C15" s="10">
        <v>184</v>
      </c>
      <c r="D15" s="10">
        <v>368</v>
      </c>
      <c r="E15" s="7"/>
    </row>
    <row r="16" spans="1:5" ht="45">
      <c r="A16" s="9" t="s">
        <v>23</v>
      </c>
      <c r="B16" s="10">
        <v>148</v>
      </c>
      <c r="C16" s="10">
        <v>179</v>
      </c>
      <c r="D16" s="10">
        <v>327</v>
      </c>
      <c r="E16" s="7"/>
    </row>
    <row r="17" spans="1:5" ht="45">
      <c r="A17" s="9" t="s">
        <v>1484</v>
      </c>
      <c r="B17" s="10">
        <v>693</v>
      </c>
      <c r="C17" s="10">
        <v>715</v>
      </c>
      <c r="D17" s="10">
        <v>1408</v>
      </c>
      <c r="E17" s="7"/>
    </row>
    <row r="18" spans="1:5" ht="45">
      <c r="A18" s="7"/>
      <c r="B18" s="7"/>
      <c r="C18" s="7"/>
      <c r="D18" s="7"/>
      <c r="E18" s="7"/>
    </row>
    <row r="19" spans="1:5" ht="45">
      <c r="A19" s="7"/>
      <c r="B19" s="7"/>
      <c r="C19" s="7"/>
      <c r="D19" s="7"/>
      <c r="E19" s="7"/>
    </row>
    <row r="20" spans="1:5" ht="45">
      <c r="A20" s="7"/>
      <c r="B20" s="7"/>
      <c r="C20" s="7"/>
      <c r="D20" s="7"/>
      <c r="E20" s="7"/>
    </row>
    <row r="21" spans="1:5" ht="45">
      <c r="A21" s="7"/>
      <c r="B21" s="7"/>
      <c r="C21" s="7"/>
      <c r="D21" s="7"/>
      <c r="E21" s="7"/>
    </row>
    <row r="22" spans="1:5" ht="45">
      <c r="A22" s="7"/>
      <c r="B22" s="7"/>
      <c r="C22" s="7"/>
      <c r="D22" s="7"/>
      <c r="E22" s="7"/>
    </row>
    <row r="23" spans="1:5" ht="45">
      <c r="A23" s="7"/>
      <c r="B23" s="7"/>
      <c r="C23" s="7"/>
      <c r="D23" s="7"/>
      <c r="E23" s="7"/>
    </row>
    <row r="24" spans="1:5" ht="45">
      <c r="A24" s="7"/>
      <c r="B24" s="7"/>
      <c r="C24" s="7"/>
      <c r="D24" s="7"/>
      <c r="E24" s="7"/>
    </row>
    <row r="25" spans="1:5" ht="45">
      <c r="A25" s="7"/>
      <c r="B25" s="7"/>
      <c r="C25" s="7"/>
      <c r="D25" s="7"/>
      <c r="E25" s="7"/>
    </row>
    <row r="26" spans="1:5" ht="45">
      <c r="A26" s="7"/>
      <c r="B26" s="7"/>
      <c r="C26" s="7"/>
      <c r="D26" s="7"/>
      <c r="E26" s="7"/>
    </row>
    <row r="27" spans="1:5" ht="45">
      <c r="A27" s="7"/>
      <c r="B27" s="7"/>
      <c r="C27" s="7"/>
      <c r="D27" s="7"/>
      <c r="E27" s="7"/>
    </row>
    <row r="28" spans="1:5">
      <c r="A28"/>
      <c r="B28"/>
      <c r="C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7F8B-F93F-724C-8220-D703485FF4A8}">
  <dimension ref="A1:I46"/>
  <sheetViews>
    <sheetView zoomScale="150" workbookViewId="0">
      <selection activeCell="B19" sqref="B19"/>
    </sheetView>
  </sheetViews>
  <sheetFormatPr baseColWidth="10" defaultRowHeight="20"/>
  <cols>
    <col min="1" max="1" width="44.5" style="4" customWidth="1"/>
    <col min="2" max="2" width="15.6640625" style="4" bestFit="1" customWidth="1"/>
    <col min="3" max="3" width="20.33203125" style="4" customWidth="1"/>
    <col min="4" max="4" width="11.33203125" style="4" bestFit="1" customWidth="1"/>
    <col min="5" max="5" width="10.83203125" style="4"/>
    <col min="6" max="6" width="15.33203125" style="4" customWidth="1"/>
    <col min="7" max="16384" width="10.83203125" style="4"/>
  </cols>
  <sheetData>
    <row r="1" spans="1:4" ht="33">
      <c r="A1" s="31" t="s">
        <v>1490</v>
      </c>
      <c r="B1" s="32" t="s">
        <v>17</v>
      </c>
      <c r="C1" s="33" t="s">
        <v>723</v>
      </c>
    </row>
    <row r="2" spans="1:4" ht="25">
      <c r="A2" s="28" t="s">
        <v>1491</v>
      </c>
      <c r="B2" s="28">
        <v>693</v>
      </c>
      <c r="C2" s="28">
        <v>715</v>
      </c>
    </row>
    <row r="3" spans="1:4" ht="25">
      <c r="A3" s="28" t="s">
        <v>1492</v>
      </c>
      <c r="B3" s="29">
        <v>0.63639999999999997</v>
      </c>
      <c r="C3" s="29">
        <v>0.72589999999999999</v>
      </c>
    </row>
    <row r="4" spans="1:4" ht="25">
      <c r="A4" s="28" t="s">
        <v>1493</v>
      </c>
      <c r="B4" s="29">
        <v>0.25109999999999999</v>
      </c>
      <c r="C4" s="29">
        <v>0.29089999999999999</v>
      </c>
    </row>
    <row r="5" spans="1:4" ht="25">
      <c r="A5" s="28" t="s">
        <v>1494</v>
      </c>
      <c r="B5" s="29">
        <v>0.15579999999999999</v>
      </c>
      <c r="C5" s="29">
        <v>0.21260000000000001</v>
      </c>
    </row>
    <row r="6" spans="1:4" ht="25">
      <c r="A6" s="28" t="s">
        <v>1495</v>
      </c>
      <c r="B6" s="29">
        <v>3.1699999999999999E-2</v>
      </c>
      <c r="C6" s="29">
        <v>6.9900000000000004E-2</v>
      </c>
    </row>
    <row r="7" spans="1:4" ht="25">
      <c r="A7" s="28" t="s">
        <v>1496</v>
      </c>
      <c r="B7" s="28">
        <v>51.75</v>
      </c>
      <c r="C7" s="28">
        <v>53.88</v>
      </c>
    </row>
    <row r="8" spans="1:4" ht="25">
      <c r="A8" s="28" t="s">
        <v>1497</v>
      </c>
      <c r="B8" s="28">
        <v>1630.1</v>
      </c>
      <c r="C8" s="28">
        <v>770.41</v>
      </c>
    </row>
    <row r="9" spans="1:4" ht="25">
      <c r="A9" s="28" t="s">
        <v>1498</v>
      </c>
      <c r="B9" s="29">
        <v>0</v>
      </c>
      <c r="C9" s="29">
        <v>4.1999999999999997E-3</v>
      </c>
    </row>
    <row r="10" spans="1:4" ht="25">
      <c r="A10" s="28" t="s">
        <v>1499</v>
      </c>
      <c r="B10" s="29">
        <v>0.1472</v>
      </c>
      <c r="C10" s="29">
        <v>0.24759999999999999</v>
      </c>
    </row>
    <row r="11" spans="1:4" ht="25">
      <c r="A11" s="28" t="s">
        <v>1500</v>
      </c>
      <c r="B11" s="28">
        <v>57.03</v>
      </c>
      <c r="C11" s="28">
        <v>62.93</v>
      </c>
    </row>
    <row r="12" spans="1:4" ht="25">
      <c r="A12" s="28" t="s">
        <v>1501</v>
      </c>
      <c r="B12" s="28">
        <v>8.86</v>
      </c>
      <c r="C12" s="28">
        <v>6.4</v>
      </c>
    </row>
    <row r="16" spans="1:4">
      <c r="A16" s="5" t="s">
        <v>1524</v>
      </c>
      <c r="B16" s="5" t="s">
        <v>1485</v>
      </c>
      <c r="C16"/>
      <c r="D16"/>
    </row>
    <row r="17" spans="1:4">
      <c r="A17" s="5" t="s">
        <v>1483</v>
      </c>
      <c r="B17" t="s">
        <v>17</v>
      </c>
      <c r="C17" t="s">
        <v>723</v>
      </c>
      <c r="D17" t="s">
        <v>1484</v>
      </c>
    </row>
    <row r="18" spans="1:4">
      <c r="A18" s="6" t="s">
        <v>19</v>
      </c>
      <c r="B18" s="30">
        <v>57.21256281407036</v>
      </c>
      <c r="C18" s="30">
        <v>63.245283018867944</v>
      </c>
      <c r="D18" s="30">
        <v>60.324330900243304</v>
      </c>
    </row>
    <row r="19" spans="1:4">
      <c r="A19" s="6" t="s">
        <v>24</v>
      </c>
      <c r="B19" s="30">
        <v>57.347877358490528</v>
      </c>
      <c r="C19" s="30">
        <v>62.783720930232612</v>
      </c>
      <c r="D19" s="30">
        <v>60.084894613583103</v>
      </c>
    </row>
    <row r="20" spans="1:4">
      <c r="A20" s="6" t="s">
        <v>34</v>
      </c>
      <c r="B20" s="30">
        <v>55.758181818181832</v>
      </c>
      <c r="C20" s="30">
        <v>63.007142857142846</v>
      </c>
      <c r="D20" s="30">
        <v>59.415315315315326</v>
      </c>
    </row>
    <row r="21" spans="1:4">
      <c r="A21" s="6" t="s">
        <v>1484</v>
      </c>
      <c r="B21" s="30">
        <v>57.179203539823028</v>
      </c>
      <c r="C21" s="30">
        <v>62.941833810888262</v>
      </c>
      <c r="D21" s="30">
        <v>60.102398255813938</v>
      </c>
    </row>
    <row r="22" spans="1:4">
      <c r="A22"/>
      <c r="B22"/>
      <c r="C22"/>
      <c r="D22"/>
    </row>
    <row r="23" spans="1:4">
      <c r="A23"/>
      <c r="B23"/>
      <c r="C23"/>
      <c r="D23"/>
    </row>
    <row r="24" spans="1:4">
      <c r="A24"/>
      <c r="B24"/>
      <c r="C24"/>
      <c r="D24"/>
    </row>
    <row r="25" spans="1:4">
      <c r="A25" s="6"/>
      <c r="B25" s="30"/>
      <c r="C25" s="30"/>
      <c r="D25" s="30"/>
    </row>
    <row r="26" spans="1:4">
      <c r="A26" s="6"/>
      <c r="B26" s="30"/>
      <c r="C26" s="30"/>
      <c r="D26" s="30"/>
    </row>
    <row r="27" spans="1:4">
      <c r="A27" s="34" t="s">
        <v>1523</v>
      </c>
      <c r="B27" s="34" t="s">
        <v>1485</v>
      </c>
      <c r="C27" s="34"/>
      <c r="D27" s="34"/>
    </row>
    <row r="28" spans="1:4">
      <c r="A28" s="35" t="s">
        <v>1483</v>
      </c>
      <c r="B28" s="35" t="s">
        <v>17</v>
      </c>
      <c r="C28" s="35" t="s">
        <v>723</v>
      </c>
      <c r="D28" s="35" t="s">
        <v>1484</v>
      </c>
    </row>
    <row r="29" spans="1:4">
      <c r="A29" s="6" t="s">
        <v>28</v>
      </c>
      <c r="B29" s="27">
        <v>2.53E-2</v>
      </c>
      <c r="C29" s="27">
        <v>6.4000000000000001E-2</v>
      </c>
      <c r="D29" s="27">
        <v>4.5499999999999999E-2</v>
      </c>
    </row>
    <row r="30" spans="1:4">
      <c r="A30" s="6" t="s">
        <v>18</v>
      </c>
      <c r="B30" s="27">
        <v>3.4500000000000003E-2</v>
      </c>
      <c r="C30" s="27">
        <v>8.8900000000000007E-2</v>
      </c>
      <c r="D30" s="27">
        <v>6.0100000000000001E-2</v>
      </c>
    </row>
    <row r="31" spans="1:4">
      <c r="A31" s="6" t="s">
        <v>32</v>
      </c>
      <c r="B31" s="27">
        <v>3.2599999999999997E-2</v>
      </c>
      <c r="C31" s="27">
        <v>7.6100000000000001E-2</v>
      </c>
      <c r="D31" s="27">
        <v>5.4300000000000001E-2</v>
      </c>
    </row>
    <row r="32" spans="1:4">
      <c r="A32" s="6" t="s">
        <v>23</v>
      </c>
      <c r="B32" s="27">
        <v>3.3799999999999997E-2</v>
      </c>
      <c r="C32" s="27">
        <v>5.0299999999999997E-2</v>
      </c>
      <c r="D32" s="27">
        <v>4.2799999999999998E-2</v>
      </c>
    </row>
    <row r="33" spans="1:9">
      <c r="A33" s="36" t="s">
        <v>1484</v>
      </c>
      <c r="B33" s="37">
        <v>3.1699999999999999E-2</v>
      </c>
      <c r="C33" s="37">
        <v>6.9900000000000004E-2</v>
      </c>
      <c r="D33" s="37">
        <v>5.11E-2</v>
      </c>
    </row>
    <row r="34" spans="1:9">
      <c r="A34"/>
      <c r="B34"/>
      <c r="C34"/>
    </row>
    <row r="35" spans="1:9">
      <c r="A35"/>
      <c r="B35"/>
      <c r="C35"/>
    </row>
    <row r="36" spans="1:9">
      <c r="A36" s="34" t="s">
        <v>1525</v>
      </c>
      <c r="B36" s="34" t="s">
        <v>1485</v>
      </c>
      <c r="C36" s="34"/>
      <c r="D36" s="34"/>
      <c r="F36"/>
      <c r="G36"/>
      <c r="H36"/>
      <c r="I36"/>
    </row>
    <row r="37" spans="1:9">
      <c r="A37" s="35" t="s">
        <v>1483</v>
      </c>
      <c r="B37" s="35" t="s">
        <v>17</v>
      </c>
      <c r="C37" s="35" t="s">
        <v>723</v>
      </c>
      <c r="D37" s="35" t="s">
        <v>1484</v>
      </c>
      <c r="F37"/>
      <c r="G37"/>
      <c r="H37"/>
      <c r="I37"/>
    </row>
    <row r="38" spans="1:9">
      <c r="A38" s="6" t="s">
        <v>20</v>
      </c>
      <c r="B38" s="27">
        <v>0</v>
      </c>
      <c r="C38" s="27">
        <v>0</v>
      </c>
      <c r="D38" s="27">
        <v>0</v>
      </c>
      <c r="F38"/>
      <c r="G38"/>
      <c r="H38"/>
      <c r="I38"/>
    </row>
    <row r="39" spans="1:9">
      <c r="A39" s="6" t="s">
        <v>25</v>
      </c>
      <c r="B39" s="27">
        <v>0</v>
      </c>
      <c r="C39" s="27">
        <v>0</v>
      </c>
      <c r="D39" s="27">
        <v>0</v>
      </c>
      <c r="F39"/>
      <c r="G39"/>
      <c r="H39"/>
      <c r="I39"/>
    </row>
    <row r="40" spans="1:9">
      <c r="A40" s="6" t="s">
        <v>29</v>
      </c>
      <c r="B40" s="27">
        <v>0</v>
      </c>
      <c r="C40" s="27">
        <v>5.7000000000000002E-3</v>
      </c>
      <c r="D40" s="27">
        <v>3.0000000000000001E-3</v>
      </c>
      <c r="F40"/>
      <c r="G40"/>
      <c r="H40"/>
      <c r="I40"/>
    </row>
    <row r="41" spans="1:9">
      <c r="A41" s="6" t="s">
        <v>39</v>
      </c>
      <c r="B41" s="27">
        <v>0</v>
      </c>
      <c r="C41" s="27">
        <v>1.0999999999999999E-2</v>
      </c>
      <c r="D41" s="27">
        <v>5.7999999999999996E-3</v>
      </c>
      <c r="F41"/>
      <c r="G41"/>
      <c r="H41"/>
      <c r="I41"/>
    </row>
    <row r="42" spans="1:9">
      <c r="A42" s="6" t="s">
        <v>41</v>
      </c>
      <c r="B42" s="27">
        <v>0</v>
      </c>
      <c r="C42" s="27">
        <v>7.4999999999999997E-3</v>
      </c>
      <c r="D42" s="27">
        <v>3.8E-3</v>
      </c>
      <c r="F42"/>
      <c r="G42"/>
      <c r="H42"/>
      <c r="I42"/>
    </row>
    <row r="43" spans="1:9">
      <c r="A43" s="36" t="s">
        <v>1484</v>
      </c>
      <c r="B43" s="37">
        <v>0</v>
      </c>
      <c r="C43" s="37">
        <v>4.3E-3</v>
      </c>
      <c r="D43" s="37">
        <v>2.2000000000000001E-3</v>
      </c>
      <c r="F43"/>
      <c r="G43"/>
      <c r="H43"/>
      <c r="I43"/>
    </row>
    <row r="46" spans="1:9">
      <c r="A46" s="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5A7A-49BD-3A4C-8537-77E01BD3CEA1}">
  <dimension ref="A1:J716"/>
  <sheetViews>
    <sheetView topLeftCell="A14" workbookViewId="0">
      <selection activeCell="D5" sqref="D5"/>
    </sheetView>
  </sheetViews>
  <sheetFormatPr baseColWidth="10" defaultRowHeight="23"/>
  <cols>
    <col min="1" max="1" width="10.83203125" style="74"/>
    <col min="2" max="2" width="16" style="74" customWidth="1"/>
    <col min="3" max="4" width="10.83203125" style="46"/>
    <col min="5" max="5" width="36.33203125" style="46" customWidth="1"/>
    <col min="6" max="6" width="42" style="46" customWidth="1"/>
    <col min="7" max="7" width="48.6640625" style="46" customWidth="1"/>
    <col min="8" max="8" width="49" style="46" customWidth="1"/>
    <col min="9" max="9" width="10.83203125" style="46"/>
    <col min="10" max="10" width="17.1640625" style="46" customWidth="1"/>
    <col min="11" max="16384" width="10.83203125" style="46"/>
  </cols>
  <sheetData>
    <row r="1" spans="1:10">
      <c r="A1" s="72" t="s">
        <v>17</v>
      </c>
      <c r="B1" s="72" t="s">
        <v>723</v>
      </c>
      <c r="J1"/>
    </row>
    <row r="2" spans="1:10">
      <c r="A2" s="73">
        <v>0</v>
      </c>
      <c r="B2" s="73">
        <v>0</v>
      </c>
      <c r="E2" s="69" t="s">
        <v>1526</v>
      </c>
      <c r="F2" s="69"/>
      <c r="G2" s="69"/>
    </row>
    <row r="3" spans="1:10">
      <c r="A3" s="73">
        <v>0</v>
      </c>
      <c r="B3" s="73">
        <v>0</v>
      </c>
      <c r="E3" s="69"/>
      <c r="F3" s="69"/>
      <c r="G3" s="69"/>
    </row>
    <row r="4" spans="1:10">
      <c r="A4" s="73">
        <v>0</v>
      </c>
      <c r="B4" s="73">
        <v>0</v>
      </c>
      <c r="E4" s="70"/>
      <c r="F4" s="70" t="s">
        <v>17</v>
      </c>
      <c r="G4" s="70" t="s">
        <v>723</v>
      </c>
    </row>
    <row r="5" spans="1:10">
      <c r="A5" s="73">
        <v>0</v>
      </c>
      <c r="B5" s="73">
        <v>0</v>
      </c>
      <c r="E5" s="71" t="s">
        <v>1527</v>
      </c>
      <c r="F5" s="71">
        <v>3.1746031746031744E-2</v>
      </c>
      <c r="G5" s="71">
        <v>6.9930069930069935E-2</v>
      </c>
    </row>
    <row r="6" spans="1:10">
      <c r="A6" s="73">
        <v>0</v>
      </c>
      <c r="B6" s="73">
        <v>0</v>
      </c>
      <c r="E6" s="71" t="s">
        <v>1528</v>
      </c>
      <c r="F6" s="71">
        <v>3.0782640609230204E-2</v>
      </c>
      <c r="G6" s="71">
        <v>6.513094748388866E-2</v>
      </c>
    </row>
    <row r="7" spans="1:10">
      <c r="A7" s="73">
        <v>0</v>
      </c>
      <c r="B7" s="73">
        <v>0</v>
      </c>
      <c r="E7" s="71" t="s">
        <v>1529</v>
      </c>
      <c r="F7" s="71">
        <v>693</v>
      </c>
      <c r="G7" s="71">
        <v>715</v>
      </c>
    </row>
    <row r="8" spans="1:10">
      <c r="A8" s="73">
        <v>0</v>
      </c>
      <c r="B8" s="73">
        <v>0</v>
      </c>
      <c r="E8" s="71" t="s">
        <v>1530</v>
      </c>
      <c r="F8" s="71">
        <v>0</v>
      </c>
      <c r="G8" s="71"/>
    </row>
    <row r="9" spans="1:10">
      <c r="A9" s="73">
        <v>0</v>
      </c>
      <c r="B9" s="73">
        <v>0</v>
      </c>
      <c r="E9" s="71" t="s">
        <v>1531</v>
      </c>
      <c r="F9" s="71">
        <v>1269</v>
      </c>
      <c r="G9" s="71"/>
    </row>
    <row r="10" spans="1:10">
      <c r="A10" s="73">
        <v>0</v>
      </c>
      <c r="B10" s="73">
        <v>0</v>
      </c>
      <c r="E10" s="71" t="s">
        <v>1532</v>
      </c>
      <c r="F10" s="71">
        <v>-3.2801490050026385</v>
      </c>
      <c r="G10" s="71"/>
    </row>
    <row r="11" spans="1:10">
      <c r="A11" s="73">
        <v>0</v>
      </c>
      <c r="B11" s="73">
        <v>0</v>
      </c>
      <c r="E11" s="71" t="s">
        <v>1533</v>
      </c>
      <c r="F11" s="71">
        <v>5.3284668418793831E-4</v>
      </c>
      <c r="G11" s="71"/>
    </row>
    <row r="12" spans="1:10">
      <c r="A12" s="73">
        <v>0</v>
      </c>
      <c r="B12" s="73">
        <v>0</v>
      </c>
      <c r="E12" s="71" t="s">
        <v>1534</v>
      </c>
      <c r="F12" s="71">
        <v>1.646055273058157</v>
      </c>
      <c r="G12" s="71"/>
    </row>
    <row r="13" spans="1:10">
      <c r="A13" s="73">
        <v>0</v>
      </c>
      <c r="B13" s="73">
        <v>0</v>
      </c>
      <c r="E13" s="71" t="s">
        <v>1535</v>
      </c>
      <c r="F13" s="71">
        <v>1.0656933683758766E-3</v>
      </c>
      <c r="G13" s="71"/>
    </row>
    <row r="14" spans="1:10">
      <c r="A14" s="73">
        <v>0</v>
      </c>
      <c r="B14" s="73">
        <v>0</v>
      </c>
      <c r="E14" s="71" t="s">
        <v>1536</v>
      </c>
      <c r="F14" s="71">
        <v>1.961835140575849</v>
      </c>
      <c r="G14" s="71"/>
    </row>
    <row r="15" spans="1:10">
      <c r="A15" s="73">
        <v>0</v>
      </c>
      <c r="B15" s="73">
        <v>0</v>
      </c>
    </row>
    <row r="16" spans="1:10" ht="24" thickBot="1">
      <c r="A16" s="73">
        <v>0</v>
      </c>
      <c r="B16" s="73">
        <v>0</v>
      </c>
      <c r="F16"/>
      <c r="G16"/>
    </row>
    <row r="17" spans="1:8" ht="24" thickBot="1">
      <c r="A17" s="73">
        <v>0</v>
      </c>
      <c r="B17" s="73">
        <v>0</v>
      </c>
      <c r="F17" s="52" t="s">
        <v>1547</v>
      </c>
      <c r="G17" s="53"/>
    </row>
    <row r="18" spans="1:8" ht="25">
      <c r="A18" s="73">
        <v>0</v>
      </c>
      <c r="B18" s="73">
        <v>0</v>
      </c>
      <c r="E18" s="47" t="s">
        <v>1537</v>
      </c>
      <c r="F18" s="48" t="s">
        <v>17</v>
      </c>
      <c r="G18" s="48" t="s">
        <v>723</v>
      </c>
      <c r="H18" s="49" t="s">
        <v>1538</v>
      </c>
    </row>
    <row r="19" spans="1:8" ht="85">
      <c r="A19" s="73">
        <v>0</v>
      </c>
      <c r="B19" s="73">
        <v>0</v>
      </c>
      <c r="E19" s="63" t="s">
        <v>1499</v>
      </c>
      <c r="F19" s="64">
        <v>0.1472</v>
      </c>
      <c r="G19" s="64">
        <v>0.24759999999999999</v>
      </c>
      <c r="H19" s="65" t="s">
        <v>1539</v>
      </c>
    </row>
    <row r="20" spans="1:8" ht="106">
      <c r="A20" s="73">
        <v>0</v>
      </c>
      <c r="B20" s="73">
        <v>0</v>
      </c>
      <c r="E20" s="63" t="s">
        <v>1498</v>
      </c>
      <c r="F20" s="64">
        <v>0</v>
      </c>
      <c r="G20" s="64">
        <v>4.1999999999999997E-3</v>
      </c>
      <c r="H20" s="65" t="s">
        <v>1549</v>
      </c>
    </row>
    <row r="21" spans="1:8" ht="65" thickBot="1">
      <c r="A21" s="73">
        <v>0</v>
      </c>
      <c r="B21" s="73">
        <v>0</v>
      </c>
      <c r="E21" s="66" t="s">
        <v>1501</v>
      </c>
      <c r="F21" s="67" t="s">
        <v>1540</v>
      </c>
      <c r="G21" s="67" t="s">
        <v>1541</v>
      </c>
      <c r="H21" s="68" t="s">
        <v>1542</v>
      </c>
    </row>
    <row r="22" spans="1:8">
      <c r="A22" s="73">
        <v>0</v>
      </c>
      <c r="B22" s="73">
        <v>0</v>
      </c>
      <c r="E22"/>
      <c r="F22"/>
      <c r="G22"/>
    </row>
    <row r="23" spans="1:8" ht="24" thickBot="1">
      <c r="A23" s="73">
        <v>0</v>
      </c>
      <c r="B23" s="73">
        <v>0</v>
      </c>
      <c r="E23" s="50"/>
      <c r="F23" s="51" t="s">
        <v>1548</v>
      </c>
      <c r="G23" s="51"/>
    </row>
    <row r="24" spans="1:8">
      <c r="A24" s="73">
        <v>0</v>
      </c>
      <c r="B24" s="73">
        <v>0</v>
      </c>
      <c r="E24" s="54" t="s">
        <v>1543</v>
      </c>
      <c r="F24" s="55"/>
      <c r="G24" s="55"/>
      <c r="H24" s="56"/>
    </row>
    <row r="25" spans="1:8">
      <c r="A25" s="73">
        <v>0</v>
      </c>
      <c r="B25" s="73">
        <v>0</v>
      </c>
      <c r="E25" s="57" t="s">
        <v>1544</v>
      </c>
      <c r="F25" s="58"/>
      <c r="G25" s="58"/>
      <c r="H25" s="59"/>
    </row>
    <row r="26" spans="1:8">
      <c r="A26" s="73">
        <v>0</v>
      </c>
      <c r="B26" s="73">
        <v>0</v>
      </c>
      <c r="E26" s="57" t="s">
        <v>1545</v>
      </c>
      <c r="F26" s="58"/>
      <c r="G26" s="58"/>
      <c r="H26" s="59"/>
    </row>
    <row r="27" spans="1:8" ht="24" thickBot="1">
      <c r="A27" s="73">
        <v>0</v>
      </c>
      <c r="B27" s="73">
        <v>0</v>
      </c>
      <c r="E27" s="60" t="s">
        <v>1546</v>
      </c>
      <c r="F27" s="61"/>
      <c r="G27" s="61"/>
      <c r="H27" s="62"/>
    </row>
    <row r="28" spans="1:8">
      <c r="A28" s="73">
        <v>0</v>
      </c>
      <c r="B28" s="73">
        <v>0</v>
      </c>
    </row>
    <row r="29" spans="1:8">
      <c r="A29" s="73">
        <v>0</v>
      </c>
      <c r="B29" s="73">
        <v>0</v>
      </c>
    </row>
    <row r="30" spans="1:8">
      <c r="A30" s="73">
        <v>0</v>
      </c>
      <c r="B30" s="73">
        <v>0</v>
      </c>
    </row>
    <row r="31" spans="1:8">
      <c r="A31" s="73">
        <v>0</v>
      </c>
      <c r="B31" s="73">
        <v>0</v>
      </c>
    </row>
    <row r="32" spans="1:8">
      <c r="A32" s="73">
        <v>0</v>
      </c>
      <c r="B32" s="73">
        <v>0</v>
      </c>
    </row>
    <row r="33" spans="1:2">
      <c r="A33" s="73">
        <v>0</v>
      </c>
      <c r="B33" s="73">
        <v>0</v>
      </c>
    </row>
    <row r="34" spans="1:2">
      <c r="A34" s="73">
        <v>0</v>
      </c>
      <c r="B34" s="73">
        <v>0</v>
      </c>
    </row>
    <row r="35" spans="1:2">
      <c r="A35" s="73">
        <v>0</v>
      </c>
      <c r="B35" s="73">
        <v>0</v>
      </c>
    </row>
    <row r="36" spans="1:2">
      <c r="A36" s="73">
        <v>0</v>
      </c>
      <c r="B36" s="73">
        <v>0</v>
      </c>
    </row>
    <row r="37" spans="1:2">
      <c r="A37" s="73">
        <v>0</v>
      </c>
      <c r="B37" s="73">
        <v>0</v>
      </c>
    </row>
    <row r="38" spans="1:2">
      <c r="A38" s="73">
        <v>0</v>
      </c>
      <c r="B38" s="73">
        <v>0</v>
      </c>
    </row>
    <row r="39" spans="1:2">
      <c r="A39" s="73">
        <v>0</v>
      </c>
      <c r="B39" s="73">
        <v>0</v>
      </c>
    </row>
    <row r="40" spans="1:2">
      <c r="A40" s="73">
        <v>0</v>
      </c>
      <c r="B40" s="73">
        <v>0</v>
      </c>
    </row>
    <row r="41" spans="1:2">
      <c r="A41" s="73">
        <v>0</v>
      </c>
      <c r="B41" s="73">
        <v>0</v>
      </c>
    </row>
    <row r="42" spans="1:2">
      <c r="A42" s="73">
        <v>0</v>
      </c>
      <c r="B42" s="73">
        <v>0</v>
      </c>
    </row>
    <row r="43" spans="1:2">
      <c r="A43" s="73">
        <v>0</v>
      </c>
      <c r="B43" s="73">
        <v>0</v>
      </c>
    </row>
    <row r="44" spans="1:2">
      <c r="A44" s="73">
        <v>0</v>
      </c>
      <c r="B44" s="73">
        <v>0</v>
      </c>
    </row>
    <row r="45" spans="1:2">
      <c r="A45" s="73">
        <v>0</v>
      </c>
      <c r="B45" s="73">
        <v>0</v>
      </c>
    </row>
    <row r="46" spans="1:2">
      <c r="A46" s="73">
        <v>0</v>
      </c>
      <c r="B46" s="73">
        <v>0</v>
      </c>
    </row>
    <row r="47" spans="1:2">
      <c r="A47" s="73">
        <v>0</v>
      </c>
      <c r="B47" s="73">
        <v>0</v>
      </c>
    </row>
    <row r="48" spans="1:2">
      <c r="A48" s="73">
        <v>0</v>
      </c>
      <c r="B48" s="73">
        <v>0</v>
      </c>
    </row>
    <row r="49" spans="1:2">
      <c r="A49" s="73">
        <v>0</v>
      </c>
      <c r="B49" s="73">
        <v>0</v>
      </c>
    </row>
    <row r="50" spans="1:2">
      <c r="A50" s="73">
        <v>0</v>
      </c>
      <c r="B50" s="73">
        <v>0</v>
      </c>
    </row>
    <row r="51" spans="1:2">
      <c r="A51" s="73">
        <v>0</v>
      </c>
      <c r="B51" s="73">
        <v>0</v>
      </c>
    </row>
    <row r="52" spans="1:2">
      <c r="A52" s="73">
        <v>0</v>
      </c>
      <c r="B52" s="73">
        <v>0</v>
      </c>
    </row>
    <row r="53" spans="1:2">
      <c r="A53" s="73">
        <v>0</v>
      </c>
      <c r="B53" s="73">
        <v>0</v>
      </c>
    </row>
    <row r="54" spans="1:2">
      <c r="A54" s="73">
        <v>0</v>
      </c>
      <c r="B54" s="73">
        <v>0</v>
      </c>
    </row>
    <row r="55" spans="1:2">
      <c r="A55" s="73">
        <v>0</v>
      </c>
      <c r="B55" s="73">
        <v>0</v>
      </c>
    </row>
    <row r="56" spans="1:2">
      <c r="A56" s="73">
        <v>0</v>
      </c>
      <c r="B56" s="73">
        <v>0</v>
      </c>
    </row>
    <row r="57" spans="1:2">
      <c r="A57" s="73">
        <v>0</v>
      </c>
      <c r="B57" s="73">
        <v>0</v>
      </c>
    </row>
    <row r="58" spans="1:2">
      <c r="A58" s="73">
        <v>0</v>
      </c>
      <c r="B58" s="73">
        <v>0</v>
      </c>
    </row>
    <row r="59" spans="1:2">
      <c r="A59" s="73">
        <v>0</v>
      </c>
      <c r="B59" s="73">
        <v>0</v>
      </c>
    </row>
    <row r="60" spans="1:2">
      <c r="A60" s="73">
        <v>0</v>
      </c>
      <c r="B60" s="73">
        <v>0</v>
      </c>
    </row>
    <row r="61" spans="1:2">
      <c r="A61" s="73">
        <v>0</v>
      </c>
      <c r="B61" s="73">
        <v>0</v>
      </c>
    </row>
    <row r="62" spans="1:2">
      <c r="A62" s="73">
        <v>0</v>
      </c>
      <c r="B62" s="73">
        <v>0</v>
      </c>
    </row>
    <row r="63" spans="1:2">
      <c r="A63" s="73">
        <v>0</v>
      </c>
      <c r="B63" s="73">
        <v>0</v>
      </c>
    </row>
    <row r="64" spans="1:2">
      <c r="A64" s="73">
        <v>0</v>
      </c>
      <c r="B64" s="73">
        <v>0</v>
      </c>
    </row>
    <row r="65" spans="1:2">
      <c r="A65" s="73">
        <v>0</v>
      </c>
      <c r="B65" s="73">
        <v>0</v>
      </c>
    </row>
    <row r="66" spans="1:2">
      <c r="A66" s="73">
        <v>0</v>
      </c>
      <c r="B66" s="73">
        <v>0</v>
      </c>
    </row>
    <row r="67" spans="1:2">
      <c r="A67" s="73">
        <v>0</v>
      </c>
      <c r="B67" s="73">
        <v>0</v>
      </c>
    </row>
    <row r="68" spans="1:2">
      <c r="A68" s="73">
        <v>0</v>
      </c>
      <c r="B68" s="73">
        <v>0</v>
      </c>
    </row>
    <row r="69" spans="1:2">
      <c r="A69" s="73">
        <v>0</v>
      </c>
      <c r="B69" s="73">
        <v>0</v>
      </c>
    </row>
    <row r="70" spans="1:2">
      <c r="A70" s="73">
        <v>0</v>
      </c>
      <c r="B70" s="73">
        <v>0</v>
      </c>
    </row>
    <row r="71" spans="1:2">
      <c r="A71" s="73">
        <v>0</v>
      </c>
      <c r="B71" s="73">
        <v>0</v>
      </c>
    </row>
    <row r="72" spans="1:2">
      <c r="A72" s="73">
        <v>0</v>
      </c>
      <c r="B72" s="73">
        <v>0</v>
      </c>
    </row>
    <row r="73" spans="1:2">
      <c r="A73" s="73">
        <v>0</v>
      </c>
      <c r="B73" s="73">
        <v>0</v>
      </c>
    </row>
    <row r="74" spans="1:2">
      <c r="A74" s="73">
        <v>0</v>
      </c>
      <c r="B74" s="73">
        <v>0</v>
      </c>
    </row>
    <row r="75" spans="1:2">
      <c r="A75" s="73">
        <v>0</v>
      </c>
      <c r="B75" s="73">
        <v>0</v>
      </c>
    </row>
    <row r="76" spans="1:2">
      <c r="A76" s="73">
        <v>0</v>
      </c>
      <c r="B76" s="73">
        <v>0</v>
      </c>
    </row>
    <row r="77" spans="1:2">
      <c r="A77" s="73">
        <v>0</v>
      </c>
      <c r="B77" s="73">
        <v>0</v>
      </c>
    </row>
    <row r="78" spans="1:2">
      <c r="A78" s="73">
        <v>0</v>
      </c>
      <c r="B78" s="73">
        <v>0</v>
      </c>
    </row>
    <row r="79" spans="1:2">
      <c r="A79" s="73">
        <v>0</v>
      </c>
      <c r="B79" s="73">
        <v>0</v>
      </c>
    </row>
    <row r="80" spans="1:2">
      <c r="A80" s="73">
        <v>0</v>
      </c>
      <c r="B80" s="73">
        <v>0</v>
      </c>
    </row>
    <row r="81" spans="1:2">
      <c r="A81" s="73">
        <v>0</v>
      </c>
      <c r="B81" s="73">
        <v>0</v>
      </c>
    </row>
    <row r="82" spans="1:2">
      <c r="A82" s="73">
        <v>0</v>
      </c>
      <c r="B82" s="73">
        <v>0</v>
      </c>
    </row>
    <row r="83" spans="1:2">
      <c r="A83" s="73">
        <v>0</v>
      </c>
      <c r="B83" s="73">
        <v>0</v>
      </c>
    </row>
    <row r="84" spans="1:2">
      <c r="A84" s="73">
        <v>0</v>
      </c>
      <c r="B84" s="73">
        <v>0</v>
      </c>
    </row>
    <row r="85" spans="1:2">
      <c r="A85" s="73">
        <v>0</v>
      </c>
      <c r="B85" s="73">
        <v>0</v>
      </c>
    </row>
    <row r="86" spans="1:2">
      <c r="A86" s="73">
        <v>0</v>
      </c>
      <c r="B86" s="73">
        <v>0</v>
      </c>
    </row>
    <row r="87" spans="1:2">
      <c r="A87" s="73">
        <v>0</v>
      </c>
      <c r="B87" s="73">
        <v>0</v>
      </c>
    </row>
    <row r="88" spans="1:2">
      <c r="A88" s="73">
        <v>0</v>
      </c>
      <c r="B88" s="73">
        <v>0</v>
      </c>
    </row>
    <row r="89" spans="1:2">
      <c r="A89" s="73">
        <v>0</v>
      </c>
      <c r="B89" s="73">
        <v>0</v>
      </c>
    </row>
    <row r="90" spans="1:2">
      <c r="A90" s="73">
        <v>0</v>
      </c>
      <c r="B90" s="73">
        <v>0</v>
      </c>
    </row>
    <row r="91" spans="1:2">
      <c r="A91" s="73">
        <v>0</v>
      </c>
      <c r="B91" s="73">
        <v>0</v>
      </c>
    </row>
    <row r="92" spans="1:2">
      <c r="A92" s="73">
        <v>0</v>
      </c>
      <c r="B92" s="73">
        <v>0</v>
      </c>
    </row>
    <row r="93" spans="1:2">
      <c r="A93" s="73">
        <v>0</v>
      </c>
      <c r="B93" s="73">
        <v>0</v>
      </c>
    </row>
    <row r="94" spans="1:2">
      <c r="A94" s="73">
        <v>0</v>
      </c>
      <c r="B94" s="73">
        <v>0</v>
      </c>
    </row>
    <row r="95" spans="1:2">
      <c r="A95" s="73">
        <v>0</v>
      </c>
      <c r="B95" s="73">
        <v>0</v>
      </c>
    </row>
    <row r="96" spans="1:2">
      <c r="A96" s="73">
        <v>0</v>
      </c>
      <c r="B96" s="73">
        <v>0</v>
      </c>
    </row>
    <row r="97" spans="1:2">
      <c r="A97" s="73">
        <v>0</v>
      </c>
      <c r="B97" s="73">
        <v>0</v>
      </c>
    </row>
    <row r="98" spans="1:2">
      <c r="A98" s="73">
        <v>0</v>
      </c>
      <c r="B98" s="73">
        <v>0</v>
      </c>
    </row>
    <row r="99" spans="1:2">
      <c r="A99" s="73">
        <v>0</v>
      </c>
      <c r="B99" s="73">
        <v>0</v>
      </c>
    </row>
    <row r="100" spans="1:2">
      <c r="A100" s="73">
        <v>0</v>
      </c>
      <c r="B100" s="73">
        <v>0</v>
      </c>
    </row>
    <row r="101" spans="1:2">
      <c r="A101" s="73">
        <v>0</v>
      </c>
      <c r="B101" s="73">
        <v>0</v>
      </c>
    </row>
    <row r="102" spans="1:2">
      <c r="A102" s="73">
        <v>0</v>
      </c>
      <c r="B102" s="73">
        <v>0</v>
      </c>
    </row>
    <row r="103" spans="1:2">
      <c r="A103" s="73">
        <v>0</v>
      </c>
      <c r="B103" s="73">
        <v>0</v>
      </c>
    </row>
    <row r="104" spans="1:2">
      <c r="A104" s="73">
        <v>0</v>
      </c>
      <c r="B104" s="73">
        <v>0</v>
      </c>
    </row>
    <row r="105" spans="1:2">
      <c r="A105" s="73">
        <v>0</v>
      </c>
      <c r="B105" s="73">
        <v>0</v>
      </c>
    </row>
    <row r="106" spans="1:2">
      <c r="A106" s="73">
        <v>0</v>
      </c>
      <c r="B106" s="73">
        <v>0</v>
      </c>
    </row>
    <row r="107" spans="1:2">
      <c r="A107" s="73">
        <v>0</v>
      </c>
      <c r="B107" s="73">
        <v>0</v>
      </c>
    </row>
    <row r="108" spans="1:2">
      <c r="A108" s="73">
        <v>0</v>
      </c>
      <c r="B108" s="73">
        <v>0</v>
      </c>
    </row>
    <row r="109" spans="1:2">
      <c r="A109" s="73">
        <v>0</v>
      </c>
      <c r="B109" s="73">
        <v>0</v>
      </c>
    </row>
    <row r="110" spans="1:2">
      <c r="A110" s="73">
        <v>0</v>
      </c>
      <c r="B110" s="73">
        <v>0</v>
      </c>
    </row>
    <row r="111" spans="1:2">
      <c r="A111" s="73">
        <v>0</v>
      </c>
      <c r="B111" s="73">
        <v>0</v>
      </c>
    </row>
    <row r="112" spans="1:2">
      <c r="A112" s="73">
        <v>0</v>
      </c>
      <c r="B112" s="73">
        <v>0</v>
      </c>
    </row>
    <row r="113" spans="1:2">
      <c r="A113" s="73">
        <v>0</v>
      </c>
      <c r="B113" s="73">
        <v>0</v>
      </c>
    </row>
    <row r="114" spans="1:2">
      <c r="A114" s="73">
        <v>0</v>
      </c>
      <c r="B114" s="73">
        <v>0</v>
      </c>
    </row>
    <row r="115" spans="1:2">
      <c r="A115" s="73">
        <v>0</v>
      </c>
      <c r="B115" s="73">
        <v>0</v>
      </c>
    </row>
    <row r="116" spans="1:2">
      <c r="A116" s="73">
        <v>0</v>
      </c>
      <c r="B116" s="73">
        <v>0</v>
      </c>
    </row>
    <row r="117" spans="1:2">
      <c r="A117" s="73">
        <v>0</v>
      </c>
      <c r="B117" s="73">
        <v>0</v>
      </c>
    </row>
    <row r="118" spans="1:2">
      <c r="A118" s="73">
        <v>0</v>
      </c>
      <c r="B118" s="73">
        <v>0</v>
      </c>
    </row>
    <row r="119" spans="1:2">
      <c r="A119" s="73">
        <v>0</v>
      </c>
      <c r="B119" s="73">
        <v>0</v>
      </c>
    </row>
    <row r="120" spans="1:2">
      <c r="A120" s="73">
        <v>0</v>
      </c>
      <c r="B120" s="73">
        <v>0</v>
      </c>
    </row>
    <row r="121" spans="1:2">
      <c r="A121" s="73">
        <v>0</v>
      </c>
      <c r="B121" s="73">
        <v>0</v>
      </c>
    </row>
    <row r="122" spans="1:2">
      <c r="A122" s="73">
        <v>0</v>
      </c>
      <c r="B122" s="73">
        <v>0</v>
      </c>
    </row>
    <row r="123" spans="1:2">
      <c r="A123" s="73">
        <v>0</v>
      </c>
      <c r="B123" s="73">
        <v>0</v>
      </c>
    </row>
    <row r="124" spans="1:2">
      <c r="A124" s="73">
        <v>0</v>
      </c>
      <c r="B124" s="73">
        <v>0</v>
      </c>
    </row>
    <row r="125" spans="1:2">
      <c r="A125" s="73">
        <v>0</v>
      </c>
      <c r="B125" s="73">
        <v>0</v>
      </c>
    </row>
    <row r="126" spans="1:2">
      <c r="A126" s="73">
        <v>0</v>
      </c>
      <c r="B126" s="73">
        <v>0</v>
      </c>
    </row>
    <row r="127" spans="1:2">
      <c r="A127" s="73">
        <v>0</v>
      </c>
      <c r="B127" s="73">
        <v>0</v>
      </c>
    </row>
    <row r="128" spans="1:2">
      <c r="A128" s="73">
        <v>0</v>
      </c>
      <c r="B128" s="73">
        <v>0</v>
      </c>
    </row>
    <row r="129" spans="1:2">
      <c r="A129" s="73">
        <v>0</v>
      </c>
      <c r="B129" s="73">
        <v>0</v>
      </c>
    </row>
    <row r="130" spans="1:2">
      <c r="A130" s="73">
        <v>0</v>
      </c>
      <c r="B130" s="73">
        <v>0</v>
      </c>
    </row>
    <row r="131" spans="1:2">
      <c r="A131" s="73">
        <v>0</v>
      </c>
      <c r="B131" s="73">
        <v>0</v>
      </c>
    </row>
    <row r="132" spans="1:2">
      <c r="A132" s="73">
        <v>0</v>
      </c>
      <c r="B132" s="73">
        <v>0</v>
      </c>
    </row>
    <row r="133" spans="1:2">
      <c r="A133" s="73">
        <v>0</v>
      </c>
      <c r="B133" s="73">
        <v>0</v>
      </c>
    </row>
    <row r="134" spans="1:2">
      <c r="A134" s="73">
        <v>0</v>
      </c>
      <c r="B134" s="73">
        <v>0</v>
      </c>
    </row>
    <row r="135" spans="1:2">
      <c r="A135" s="73">
        <v>0</v>
      </c>
      <c r="B135" s="73">
        <v>0</v>
      </c>
    </row>
    <row r="136" spans="1:2">
      <c r="A136" s="73">
        <v>0</v>
      </c>
      <c r="B136" s="73">
        <v>0</v>
      </c>
    </row>
    <row r="137" spans="1:2">
      <c r="A137" s="73">
        <v>0</v>
      </c>
      <c r="B137" s="73">
        <v>0</v>
      </c>
    </row>
    <row r="138" spans="1:2">
      <c r="A138" s="73">
        <v>0</v>
      </c>
      <c r="B138" s="73">
        <v>0</v>
      </c>
    </row>
    <row r="139" spans="1:2">
      <c r="A139" s="73">
        <v>0</v>
      </c>
      <c r="B139" s="73">
        <v>0</v>
      </c>
    </row>
    <row r="140" spans="1:2">
      <c r="A140" s="73">
        <v>0</v>
      </c>
      <c r="B140" s="73">
        <v>0</v>
      </c>
    </row>
    <row r="141" spans="1:2">
      <c r="A141" s="73">
        <v>0</v>
      </c>
      <c r="B141" s="73">
        <v>0</v>
      </c>
    </row>
    <row r="142" spans="1:2">
      <c r="A142" s="73">
        <v>0</v>
      </c>
      <c r="B142" s="73">
        <v>0</v>
      </c>
    </row>
    <row r="143" spans="1:2">
      <c r="A143" s="73">
        <v>0</v>
      </c>
      <c r="B143" s="73">
        <v>0</v>
      </c>
    </row>
    <row r="144" spans="1:2">
      <c r="A144" s="73">
        <v>0</v>
      </c>
      <c r="B144" s="73">
        <v>0</v>
      </c>
    </row>
    <row r="145" spans="1:2">
      <c r="A145" s="73">
        <v>0</v>
      </c>
      <c r="B145" s="73">
        <v>0</v>
      </c>
    </row>
    <row r="146" spans="1:2">
      <c r="A146" s="73">
        <v>0</v>
      </c>
      <c r="B146" s="73">
        <v>0</v>
      </c>
    </row>
    <row r="147" spans="1:2">
      <c r="A147" s="73">
        <v>0</v>
      </c>
      <c r="B147" s="73">
        <v>0</v>
      </c>
    </row>
    <row r="148" spans="1:2">
      <c r="A148" s="73">
        <v>0</v>
      </c>
      <c r="B148" s="73">
        <v>0</v>
      </c>
    </row>
    <row r="149" spans="1:2">
      <c r="A149" s="73">
        <v>0</v>
      </c>
      <c r="B149" s="73">
        <v>0</v>
      </c>
    </row>
    <row r="150" spans="1:2">
      <c r="A150" s="73">
        <v>0</v>
      </c>
      <c r="B150" s="73">
        <v>0</v>
      </c>
    </row>
    <row r="151" spans="1:2">
      <c r="A151" s="73">
        <v>0</v>
      </c>
      <c r="B151" s="73">
        <v>0</v>
      </c>
    </row>
    <row r="152" spans="1:2">
      <c r="A152" s="73">
        <v>0</v>
      </c>
      <c r="B152" s="73">
        <v>0</v>
      </c>
    </row>
    <row r="153" spans="1:2">
      <c r="A153" s="73">
        <v>0</v>
      </c>
      <c r="B153" s="73">
        <v>0</v>
      </c>
    </row>
    <row r="154" spans="1:2">
      <c r="A154" s="73">
        <v>0</v>
      </c>
      <c r="B154" s="73">
        <v>0</v>
      </c>
    </row>
    <row r="155" spans="1:2">
      <c r="A155" s="73">
        <v>0</v>
      </c>
      <c r="B155" s="73">
        <v>0</v>
      </c>
    </row>
    <row r="156" spans="1:2">
      <c r="A156" s="73">
        <v>0</v>
      </c>
      <c r="B156" s="73">
        <v>0</v>
      </c>
    </row>
    <row r="157" spans="1:2">
      <c r="A157" s="73">
        <v>0</v>
      </c>
      <c r="B157" s="73">
        <v>0</v>
      </c>
    </row>
    <row r="158" spans="1:2">
      <c r="A158" s="73">
        <v>0</v>
      </c>
      <c r="B158" s="73">
        <v>0</v>
      </c>
    </row>
    <row r="159" spans="1:2">
      <c r="A159" s="73">
        <v>0</v>
      </c>
      <c r="B159" s="73">
        <v>0</v>
      </c>
    </row>
    <row r="160" spans="1:2">
      <c r="A160" s="73">
        <v>0</v>
      </c>
      <c r="B160" s="73">
        <v>0</v>
      </c>
    </row>
    <row r="161" spans="1:2">
      <c r="A161" s="73">
        <v>0</v>
      </c>
      <c r="B161" s="73">
        <v>0</v>
      </c>
    </row>
    <row r="162" spans="1:2">
      <c r="A162" s="73">
        <v>0</v>
      </c>
      <c r="B162" s="73">
        <v>0</v>
      </c>
    </row>
    <row r="163" spans="1:2">
      <c r="A163" s="73">
        <v>0</v>
      </c>
      <c r="B163" s="73">
        <v>0</v>
      </c>
    </row>
    <row r="164" spans="1:2">
      <c r="A164" s="73">
        <v>0</v>
      </c>
      <c r="B164" s="73">
        <v>0</v>
      </c>
    </row>
    <row r="165" spans="1:2">
      <c r="A165" s="73">
        <v>0</v>
      </c>
      <c r="B165" s="73">
        <v>0</v>
      </c>
    </row>
    <row r="166" spans="1:2">
      <c r="A166" s="73">
        <v>0</v>
      </c>
      <c r="B166" s="73">
        <v>0</v>
      </c>
    </row>
    <row r="167" spans="1:2">
      <c r="A167" s="73">
        <v>0</v>
      </c>
      <c r="B167" s="73">
        <v>0</v>
      </c>
    </row>
    <row r="168" spans="1:2">
      <c r="A168" s="73">
        <v>0</v>
      </c>
      <c r="B168" s="73">
        <v>0</v>
      </c>
    </row>
    <row r="169" spans="1:2">
      <c r="A169" s="73">
        <v>0</v>
      </c>
      <c r="B169" s="73">
        <v>0</v>
      </c>
    </row>
    <row r="170" spans="1:2">
      <c r="A170" s="73">
        <v>0</v>
      </c>
      <c r="B170" s="73">
        <v>0</v>
      </c>
    </row>
    <row r="171" spans="1:2">
      <c r="A171" s="73">
        <v>0</v>
      </c>
      <c r="B171" s="73">
        <v>0</v>
      </c>
    </row>
    <row r="172" spans="1:2">
      <c r="A172" s="73">
        <v>0</v>
      </c>
      <c r="B172" s="73">
        <v>0</v>
      </c>
    </row>
    <row r="173" spans="1:2">
      <c r="A173" s="73">
        <v>0</v>
      </c>
      <c r="B173" s="73">
        <v>0</v>
      </c>
    </row>
    <row r="174" spans="1:2">
      <c r="A174" s="73">
        <v>0</v>
      </c>
      <c r="B174" s="73">
        <v>0</v>
      </c>
    </row>
    <row r="175" spans="1:2">
      <c r="A175" s="73">
        <v>0</v>
      </c>
      <c r="B175" s="73">
        <v>0</v>
      </c>
    </row>
    <row r="176" spans="1:2">
      <c r="A176" s="73">
        <v>0</v>
      </c>
      <c r="B176" s="73">
        <v>0</v>
      </c>
    </row>
    <row r="177" spans="1:2">
      <c r="A177" s="73">
        <v>0</v>
      </c>
      <c r="B177" s="73">
        <v>0</v>
      </c>
    </row>
    <row r="178" spans="1:2">
      <c r="A178" s="73">
        <v>0</v>
      </c>
      <c r="B178" s="73">
        <v>0</v>
      </c>
    </row>
    <row r="179" spans="1:2">
      <c r="A179" s="73">
        <v>0</v>
      </c>
      <c r="B179" s="73">
        <v>0</v>
      </c>
    </row>
    <row r="180" spans="1:2">
      <c r="A180" s="73">
        <v>0</v>
      </c>
      <c r="B180" s="73">
        <v>0</v>
      </c>
    </row>
    <row r="181" spans="1:2">
      <c r="A181" s="73">
        <v>0</v>
      </c>
      <c r="B181" s="73">
        <v>0</v>
      </c>
    </row>
    <row r="182" spans="1:2">
      <c r="A182" s="73">
        <v>0</v>
      </c>
      <c r="B182" s="73">
        <v>0</v>
      </c>
    </row>
    <row r="183" spans="1:2">
      <c r="A183" s="73">
        <v>0</v>
      </c>
      <c r="B183" s="73">
        <v>0</v>
      </c>
    </row>
    <row r="184" spans="1:2">
      <c r="A184" s="73">
        <v>0</v>
      </c>
      <c r="B184" s="73">
        <v>0</v>
      </c>
    </row>
    <row r="185" spans="1:2">
      <c r="A185" s="73">
        <v>0</v>
      </c>
      <c r="B185" s="73">
        <v>0</v>
      </c>
    </row>
    <row r="186" spans="1:2">
      <c r="A186" s="73">
        <v>0</v>
      </c>
      <c r="B186" s="73">
        <v>0</v>
      </c>
    </row>
    <row r="187" spans="1:2">
      <c r="A187" s="73">
        <v>0</v>
      </c>
      <c r="B187" s="73">
        <v>0</v>
      </c>
    </row>
    <row r="188" spans="1:2">
      <c r="A188" s="73">
        <v>0</v>
      </c>
      <c r="B188" s="73">
        <v>0</v>
      </c>
    </row>
    <row r="189" spans="1:2">
      <c r="A189" s="73">
        <v>0</v>
      </c>
      <c r="B189" s="73">
        <v>0</v>
      </c>
    </row>
    <row r="190" spans="1:2">
      <c r="A190" s="73">
        <v>0</v>
      </c>
      <c r="B190" s="73">
        <v>0</v>
      </c>
    </row>
    <row r="191" spans="1:2">
      <c r="A191" s="73">
        <v>0</v>
      </c>
      <c r="B191" s="73">
        <v>0</v>
      </c>
    </row>
    <row r="192" spans="1:2">
      <c r="A192" s="73">
        <v>0</v>
      </c>
      <c r="B192" s="73">
        <v>0</v>
      </c>
    </row>
    <row r="193" spans="1:2">
      <c r="A193" s="73">
        <v>0</v>
      </c>
      <c r="B193" s="73">
        <v>0</v>
      </c>
    </row>
    <row r="194" spans="1:2">
      <c r="A194" s="73">
        <v>0</v>
      </c>
      <c r="B194" s="73">
        <v>0</v>
      </c>
    </row>
    <row r="195" spans="1:2">
      <c r="A195" s="73">
        <v>0</v>
      </c>
      <c r="B195" s="73">
        <v>0</v>
      </c>
    </row>
    <row r="196" spans="1:2">
      <c r="A196" s="73">
        <v>0</v>
      </c>
      <c r="B196" s="73">
        <v>0</v>
      </c>
    </row>
    <row r="197" spans="1:2">
      <c r="A197" s="73">
        <v>0</v>
      </c>
      <c r="B197" s="73">
        <v>0</v>
      </c>
    </row>
    <row r="198" spans="1:2">
      <c r="A198" s="73">
        <v>0</v>
      </c>
      <c r="B198" s="73">
        <v>0</v>
      </c>
    </row>
    <row r="199" spans="1:2">
      <c r="A199" s="73">
        <v>0</v>
      </c>
      <c r="B199" s="73">
        <v>0</v>
      </c>
    </row>
    <row r="200" spans="1:2">
      <c r="A200" s="73">
        <v>0</v>
      </c>
      <c r="B200" s="73">
        <v>0</v>
      </c>
    </row>
    <row r="201" spans="1:2">
      <c r="A201" s="73">
        <v>0</v>
      </c>
      <c r="B201" s="73">
        <v>0</v>
      </c>
    </row>
    <row r="202" spans="1:2">
      <c r="A202" s="73">
        <v>0</v>
      </c>
      <c r="B202" s="73">
        <v>0</v>
      </c>
    </row>
    <row r="203" spans="1:2">
      <c r="A203" s="73">
        <v>0</v>
      </c>
      <c r="B203" s="73">
        <v>0</v>
      </c>
    </row>
    <row r="204" spans="1:2">
      <c r="A204" s="73">
        <v>0</v>
      </c>
      <c r="B204" s="73">
        <v>0</v>
      </c>
    </row>
    <row r="205" spans="1:2">
      <c r="A205" s="73">
        <v>0</v>
      </c>
      <c r="B205" s="73">
        <v>0</v>
      </c>
    </row>
    <row r="206" spans="1:2">
      <c r="A206" s="73">
        <v>0</v>
      </c>
      <c r="B206" s="73">
        <v>0</v>
      </c>
    </row>
    <row r="207" spans="1:2">
      <c r="A207" s="73">
        <v>0</v>
      </c>
      <c r="B207" s="73">
        <v>0</v>
      </c>
    </row>
    <row r="208" spans="1:2">
      <c r="A208" s="73">
        <v>0</v>
      </c>
      <c r="B208" s="73">
        <v>0</v>
      </c>
    </row>
    <row r="209" spans="1:2">
      <c r="A209" s="73">
        <v>0</v>
      </c>
      <c r="B209" s="73">
        <v>0</v>
      </c>
    </row>
    <row r="210" spans="1:2">
      <c r="A210" s="73">
        <v>0</v>
      </c>
      <c r="B210" s="73">
        <v>0</v>
      </c>
    </row>
    <row r="211" spans="1:2">
      <c r="A211" s="73">
        <v>0</v>
      </c>
      <c r="B211" s="73">
        <v>0</v>
      </c>
    </row>
    <row r="212" spans="1:2">
      <c r="A212" s="73">
        <v>0</v>
      </c>
      <c r="B212" s="73">
        <v>0</v>
      </c>
    </row>
    <row r="213" spans="1:2">
      <c r="A213" s="73">
        <v>0</v>
      </c>
      <c r="B213" s="73">
        <v>0</v>
      </c>
    </row>
    <row r="214" spans="1:2">
      <c r="A214" s="73">
        <v>0</v>
      </c>
      <c r="B214" s="73">
        <v>0</v>
      </c>
    </row>
    <row r="215" spans="1:2">
      <c r="A215" s="73">
        <v>0</v>
      </c>
      <c r="B215" s="73">
        <v>0</v>
      </c>
    </row>
    <row r="216" spans="1:2">
      <c r="A216" s="73">
        <v>0</v>
      </c>
      <c r="B216" s="73">
        <v>0</v>
      </c>
    </row>
    <row r="217" spans="1:2">
      <c r="A217" s="73">
        <v>0</v>
      </c>
      <c r="B217" s="73">
        <v>0</v>
      </c>
    </row>
    <row r="218" spans="1:2">
      <c r="A218" s="73">
        <v>0</v>
      </c>
      <c r="B218" s="73">
        <v>0</v>
      </c>
    </row>
    <row r="219" spans="1:2">
      <c r="A219" s="73">
        <v>0</v>
      </c>
      <c r="B219" s="73">
        <v>0</v>
      </c>
    </row>
    <row r="220" spans="1:2">
      <c r="A220" s="73">
        <v>0</v>
      </c>
      <c r="B220" s="73">
        <v>0</v>
      </c>
    </row>
    <row r="221" spans="1:2">
      <c r="A221" s="73">
        <v>0</v>
      </c>
      <c r="B221" s="73">
        <v>0</v>
      </c>
    </row>
    <row r="222" spans="1:2">
      <c r="A222" s="73">
        <v>0</v>
      </c>
      <c r="B222" s="73">
        <v>0</v>
      </c>
    </row>
    <row r="223" spans="1:2">
      <c r="A223" s="73">
        <v>0</v>
      </c>
      <c r="B223" s="73">
        <v>0</v>
      </c>
    </row>
    <row r="224" spans="1:2">
      <c r="A224" s="73">
        <v>0</v>
      </c>
      <c r="B224" s="73">
        <v>0</v>
      </c>
    </row>
    <row r="225" spans="1:2">
      <c r="A225" s="73">
        <v>0</v>
      </c>
      <c r="B225" s="73">
        <v>0</v>
      </c>
    </row>
    <row r="226" spans="1:2">
      <c r="A226" s="73">
        <v>0</v>
      </c>
      <c r="B226" s="73">
        <v>0</v>
      </c>
    </row>
    <row r="227" spans="1:2">
      <c r="A227" s="73">
        <v>0</v>
      </c>
      <c r="B227" s="73">
        <v>0</v>
      </c>
    </row>
    <row r="228" spans="1:2">
      <c r="A228" s="73">
        <v>0</v>
      </c>
      <c r="B228" s="73">
        <v>0</v>
      </c>
    </row>
    <row r="229" spans="1:2">
      <c r="A229" s="73">
        <v>0</v>
      </c>
      <c r="B229" s="73">
        <v>0</v>
      </c>
    </row>
    <row r="230" spans="1:2">
      <c r="A230" s="73">
        <v>0</v>
      </c>
      <c r="B230" s="73">
        <v>0</v>
      </c>
    </row>
    <row r="231" spans="1:2">
      <c r="A231" s="73">
        <v>0</v>
      </c>
      <c r="B231" s="73">
        <v>0</v>
      </c>
    </row>
    <row r="232" spans="1:2">
      <c r="A232" s="73">
        <v>0</v>
      </c>
      <c r="B232" s="73">
        <v>0</v>
      </c>
    </row>
    <row r="233" spans="1:2">
      <c r="A233" s="73">
        <v>0</v>
      </c>
      <c r="B233" s="73">
        <v>0</v>
      </c>
    </row>
    <row r="234" spans="1:2">
      <c r="A234" s="73">
        <v>0</v>
      </c>
      <c r="B234" s="73">
        <v>0</v>
      </c>
    </row>
    <row r="235" spans="1:2">
      <c r="A235" s="73">
        <v>0</v>
      </c>
      <c r="B235" s="73">
        <v>0</v>
      </c>
    </row>
    <row r="236" spans="1:2">
      <c r="A236" s="73">
        <v>0</v>
      </c>
      <c r="B236" s="73">
        <v>0</v>
      </c>
    </row>
    <row r="237" spans="1:2">
      <c r="A237" s="73">
        <v>0</v>
      </c>
      <c r="B237" s="73">
        <v>0</v>
      </c>
    </row>
    <row r="238" spans="1:2">
      <c r="A238" s="73">
        <v>0</v>
      </c>
      <c r="B238" s="73">
        <v>0</v>
      </c>
    </row>
    <row r="239" spans="1:2">
      <c r="A239" s="73">
        <v>0</v>
      </c>
      <c r="B239" s="73">
        <v>0</v>
      </c>
    </row>
    <row r="240" spans="1:2">
      <c r="A240" s="73">
        <v>0</v>
      </c>
      <c r="B240" s="73">
        <v>0</v>
      </c>
    </row>
    <row r="241" spans="1:2">
      <c r="A241" s="73">
        <v>0</v>
      </c>
      <c r="B241" s="73">
        <v>0</v>
      </c>
    </row>
    <row r="242" spans="1:2">
      <c r="A242" s="73">
        <v>0</v>
      </c>
      <c r="B242" s="73">
        <v>0</v>
      </c>
    </row>
    <row r="243" spans="1:2">
      <c r="A243" s="73">
        <v>0</v>
      </c>
      <c r="B243" s="73">
        <v>0</v>
      </c>
    </row>
    <row r="244" spans="1:2">
      <c r="A244" s="73">
        <v>0</v>
      </c>
      <c r="B244" s="73">
        <v>0</v>
      </c>
    </row>
    <row r="245" spans="1:2">
      <c r="A245" s="73">
        <v>0</v>
      </c>
      <c r="B245" s="73">
        <v>0</v>
      </c>
    </row>
    <row r="246" spans="1:2">
      <c r="A246" s="73">
        <v>0</v>
      </c>
      <c r="B246" s="73">
        <v>0</v>
      </c>
    </row>
    <row r="247" spans="1:2">
      <c r="A247" s="73">
        <v>0</v>
      </c>
      <c r="B247" s="73">
        <v>0</v>
      </c>
    </row>
    <row r="248" spans="1:2">
      <c r="A248" s="73">
        <v>0</v>
      </c>
      <c r="B248" s="73">
        <v>0</v>
      </c>
    </row>
    <row r="249" spans="1:2">
      <c r="A249" s="73">
        <v>0</v>
      </c>
      <c r="B249" s="73">
        <v>0</v>
      </c>
    </row>
    <row r="250" spans="1:2">
      <c r="A250" s="73">
        <v>0</v>
      </c>
      <c r="B250" s="73">
        <v>0</v>
      </c>
    </row>
    <row r="251" spans="1:2">
      <c r="A251" s="73">
        <v>0</v>
      </c>
      <c r="B251" s="73">
        <v>0</v>
      </c>
    </row>
    <row r="252" spans="1:2">
      <c r="A252" s="73">
        <v>0</v>
      </c>
      <c r="B252" s="73">
        <v>0</v>
      </c>
    </row>
    <row r="253" spans="1:2">
      <c r="A253" s="73">
        <v>0</v>
      </c>
      <c r="B253" s="73">
        <v>0</v>
      </c>
    </row>
    <row r="254" spans="1:2">
      <c r="A254" s="73">
        <v>0</v>
      </c>
      <c r="B254" s="73">
        <v>0</v>
      </c>
    </row>
    <row r="255" spans="1:2">
      <c r="A255" s="73">
        <v>0</v>
      </c>
      <c r="B255" s="73">
        <v>0</v>
      </c>
    </row>
    <row r="256" spans="1:2">
      <c r="A256" s="73">
        <v>0</v>
      </c>
      <c r="B256" s="73">
        <v>0</v>
      </c>
    </row>
    <row r="257" spans="1:2">
      <c r="A257" s="73">
        <v>0</v>
      </c>
      <c r="B257" s="73">
        <v>0</v>
      </c>
    </row>
    <row r="258" spans="1:2">
      <c r="A258" s="73">
        <v>0</v>
      </c>
      <c r="B258" s="73">
        <v>0</v>
      </c>
    </row>
    <row r="259" spans="1:2">
      <c r="A259" s="73">
        <v>0</v>
      </c>
      <c r="B259" s="73">
        <v>0</v>
      </c>
    </row>
    <row r="260" spans="1:2">
      <c r="A260" s="73">
        <v>0</v>
      </c>
      <c r="B260" s="73">
        <v>0</v>
      </c>
    </row>
    <row r="261" spans="1:2">
      <c r="A261" s="73">
        <v>0</v>
      </c>
      <c r="B261" s="73">
        <v>0</v>
      </c>
    </row>
    <row r="262" spans="1:2">
      <c r="A262" s="73">
        <v>0</v>
      </c>
      <c r="B262" s="73">
        <v>0</v>
      </c>
    </row>
    <row r="263" spans="1:2">
      <c r="A263" s="73">
        <v>0</v>
      </c>
      <c r="B263" s="73">
        <v>0</v>
      </c>
    </row>
    <row r="264" spans="1:2">
      <c r="A264" s="73">
        <v>0</v>
      </c>
      <c r="B264" s="73">
        <v>0</v>
      </c>
    </row>
    <row r="265" spans="1:2">
      <c r="A265" s="73">
        <v>0</v>
      </c>
      <c r="B265" s="73">
        <v>0</v>
      </c>
    </row>
    <row r="266" spans="1:2">
      <c r="A266" s="73">
        <v>0</v>
      </c>
      <c r="B266" s="73">
        <v>0</v>
      </c>
    </row>
    <row r="267" spans="1:2">
      <c r="A267" s="73">
        <v>0</v>
      </c>
      <c r="B267" s="73">
        <v>0</v>
      </c>
    </row>
    <row r="268" spans="1:2">
      <c r="A268" s="73">
        <v>0</v>
      </c>
      <c r="B268" s="73">
        <v>0</v>
      </c>
    </row>
    <row r="269" spans="1:2">
      <c r="A269" s="73">
        <v>0</v>
      </c>
      <c r="B269" s="73">
        <v>0</v>
      </c>
    </row>
    <row r="270" spans="1:2">
      <c r="A270" s="73">
        <v>0</v>
      </c>
      <c r="B270" s="73">
        <v>0</v>
      </c>
    </row>
    <row r="271" spans="1:2">
      <c r="A271" s="73">
        <v>0</v>
      </c>
      <c r="B271" s="73">
        <v>0</v>
      </c>
    </row>
    <row r="272" spans="1:2">
      <c r="A272" s="73">
        <v>0</v>
      </c>
      <c r="B272" s="73">
        <v>0</v>
      </c>
    </row>
    <row r="273" spans="1:2">
      <c r="A273" s="73">
        <v>0</v>
      </c>
      <c r="B273" s="73">
        <v>0</v>
      </c>
    </row>
    <row r="274" spans="1:2">
      <c r="A274" s="73">
        <v>0</v>
      </c>
      <c r="B274" s="73">
        <v>0</v>
      </c>
    </row>
    <row r="275" spans="1:2">
      <c r="A275" s="73">
        <v>0</v>
      </c>
      <c r="B275" s="73">
        <v>0</v>
      </c>
    </row>
    <row r="276" spans="1:2">
      <c r="A276" s="73">
        <v>0</v>
      </c>
      <c r="B276" s="73">
        <v>0</v>
      </c>
    </row>
    <row r="277" spans="1:2">
      <c r="A277" s="73">
        <v>0</v>
      </c>
      <c r="B277" s="73">
        <v>0</v>
      </c>
    </row>
    <row r="278" spans="1:2">
      <c r="A278" s="73">
        <v>0</v>
      </c>
      <c r="B278" s="73">
        <v>0</v>
      </c>
    </row>
    <row r="279" spans="1:2">
      <c r="A279" s="73">
        <v>0</v>
      </c>
      <c r="B279" s="73">
        <v>0</v>
      </c>
    </row>
    <row r="280" spans="1:2">
      <c r="A280" s="73">
        <v>0</v>
      </c>
      <c r="B280" s="73">
        <v>0</v>
      </c>
    </row>
    <row r="281" spans="1:2">
      <c r="A281" s="73">
        <v>0</v>
      </c>
      <c r="B281" s="73">
        <v>0</v>
      </c>
    </row>
    <row r="282" spans="1:2">
      <c r="A282" s="73">
        <v>0</v>
      </c>
      <c r="B282" s="73">
        <v>0</v>
      </c>
    </row>
    <row r="283" spans="1:2">
      <c r="A283" s="73">
        <v>0</v>
      </c>
      <c r="B283" s="73">
        <v>0</v>
      </c>
    </row>
    <row r="284" spans="1:2">
      <c r="A284" s="73">
        <v>0</v>
      </c>
      <c r="B284" s="73">
        <v>0</v>
      </c>
    </row>
    <row r="285" spans="1:2">
      <c r="A285" s="73">
        <v>0</v>
      </c>
      <c r="B285" s="73">
        <v>0</v>
      </c>
    </row>
    <row r="286" spans="1:2">
      <c r="A286" s="73">
        <v>0</v>
      </c>
      <c r="B286" s="73">
        <v>0</v>
      </c>
    </row>
    <row r="287" spans="1:2">
      <c r="A287" s="73">
        <v>0</v>
      </c>
      <c r="B287" s="73">
        <v>0</v>
      </c>
    </row>
    <row r="288" spans="1:2">
      <c r="A288" s="73">
        <v>0</v>
      </c>
      <c r="B288" s="73">
        <v>0</v>
      </c>
    </row>
    <row r="289" spans="1:2">
      <c r="A289" s="73">
        <v>0</v>
      </c>
      <c r="B289" s="73">
        <v>0</v>
      </c>
    </row>
    <row r="290" spans="1:2">
      <c r="A290" s="73">
        <v>0</v>
      </c>
      <c r="B290" s="73">
        <v>0</v>
      </c>
    </row>
    <row r="291" spans="1:2">
      <c r="A291" s="73">
        <v>0</v>
      </c>
      <c r="B291" s="73">
        <v>0</v>
      </c>
    </row>
    <row r="292" spans="1:2">
      <c r="A292" s="73">
        <v>0</v>
      </c>
      <c r="B292" s="73">
        <v>0</v>
      </c>
    </row>
    <row r="293" spans="1:2">
      <c r="A293" s="73">
        <v>0</v>
      </c>
      <c r="B293" s="73">
        <v>0</v>
      </c>
    </row>
    <row r="294" spans="1:2">
      <c r="A294" s="73">
        <v>0</v>
      </c>
      <c r="B294" s="73">
        <v>0</v>
      </c>
    </row>
    <row r="295" spans="1:2">
      <c r="A295" s="73">
        <v>0</v>
      </c>
      <c r="B295" s="73">
        <v>0</v>
      </c>
    </row>
    <row r="296" spans="1:2">
      <c r="A296" s="73">
        <v>0</v>
      </c>
      <c r="B296" s="73">
        <v>0</v>
      </c>
    </row>
    <row r="297" spans="1:2">
      <c r="A297" s="73">
        <v>0</v>
      </c>
      <c r="B297" s="73">
        <v>0</v>
      </c>
    </row>
    <row r="298" spans="1:2">
      <c r="A298" s="73">
        <v>0</v>
      </c>
      <c r="B298" s="73">
        <v>0</v>
      </c>
    </row>
    <row r="299" spans="1:2">
      <c r="A299" s="73">
        <v>0</v>
      </c>
      <c r="B299" s="73">
        <v>0</v>
      </c>
    </row>
    <row r="300" spans="1:2">
      <c r="A300" s="73">
        <v>0</v>
      </c>
      <c r="B300" s="73">
        <v>0</v>
      </c>
    </row>
    <row r="301" spans="1:2">
      <c r="A301" s="73">
        <v>0</v>
      </c>
      <c r="B301" s="73">
        <v>0</v>
      </c>
    </row>
    <row r="302" spans="1:2">
      <c r="A302" s="73">
        <v>0</v>
      </c>
      <c r="B302" s="73">
        <v>0</v>
      </c>
    </row>
    <row r="303" spans="1:2">
      <c r="A303" s="73">
        <v>0</v>
      </c>
      <c r="B303" s="73">
        <v>0</v>
      </c>
    </row>
    <row r="304" spans="1:2">
      <c r="A304" s="73">
        <v>0</v>
      </c>
      <c r="B304" s="73">
        <v>0</v>
      </c>
    </row>
    <row r="305" spans="1:2">
      <c r="A305" s="73">
        <v>0</v>
      </c>
      <c r="B305" s="73">
        <v>0</v>
      </c>
    </row>
    <row r="306" spans="1:2">
      <c r="A306" s="73">
        <v>0</v>
      </c>
      <c r="B306" s="73">
        <v>0</v>
      </c>
    </row>
    <row r="307" spans="1:2">
      <c r="A307" s="73">
        <v>0</v>
      </c>
      <c r="B307" s="73">
        <v>0</v>
      </c>
    </row>
    <row r="308" spans="1:2">
      <c r="A308" s="73">
        <v>0</v>
      </c>
      <c r="B308" s="73">
        <v>0</v>
      </c>
    </row>
    <row r="309" spans="1:2">
      <c r="A309" s="73">
        <v>0</v>
      </c>
      <c r="B309" s="73">
        <v>0</v>
      </c>
    </row>
    <row r="310" spans="1:2">
      <c r="A310" s="73">
        <v>0</v>
      </c>
      <c r="B310" s="73">
        <v>0</v>
      </c>
    </row>
    <row r="311" spans="1:2">
      <c r="A311" s="73">
        <v>0</v>
      </c>
      <c r="B311" s="73">
        <v>0</v>
      </c>
    </row>
    <row r="312" spans="1:2">
      <c r="A312" s="73">
        <v>0</v>
      </c>
      <c r="B312" s="73">
        <v>0</v>
      </c>
    </row>
    <row r="313" spans="1:2">
      <c r="A313" s="73">
        <v>0</v>
      </c>
      <c r="B313" s="73">
        <v>0</v>
      </c>
    </row>
    <row r="314" spans="1:2">
      <c r="A314" s="73">
        <v>0</v>
      </c>
      <c r="B314" s="73">
        <v>0</v>
      </c>
    </row>
    <row r="315" spans="1:2">
      <c r="A315" s="73">
        <v>0</v>
      </c>
      <c r="B315" s="73">
        <v>0</v>
      </c>
    </row>
    <row r="316" spans="1:2">
      <c r="A316" s="73">
        <v>0</v>
      </c>
      <c r="B316" s="73">
        <v>0</v>
      </c>
    </row>
    <row r="317" spans="1:2">
      <c r="A317" s="73">
        <v>0</v>
      </c>
      <c r="B317" s="73">
        <v>0</v>
      </c>
    </row>
    <row r="318" spans="1:2">
      <c r="A318" s="73">
        <v>0</v>
      </c>
      <c r="B318" s="73">
        <v>0</v>
      </c>
    </row>
    <row r="319" spans="1:2">
      <c r="A319" s="73">
        <v>0</v>
      </c>
      <c r="B319" s="73">
        <v>0</v>
      </c>
    </row>
    <row r="320" spans="1:2">
      <c r="A320" s="73">
        <v>0</v>
      </c>
      <c r="B320" s="73">
        <v>0</v>
      </c>
    </row>
    <row r="321" spans="1:2">
      <c r="A321" s="73">
        <v>0</v>
      </c>
      <c r="B321" s="73">
        <v>0</v>
      </c>
    </row>
    <row r="322" spans="1:2">
      <c r="A322" s="73">
        <v>0</v>
      </c>
      <c r="B322" s="73">
        <v>0</v>
      </c>
    </row>
    <row r="323" spans="1:2">
      <c r="A323" s="73">
        <v>0</v>
      </c>
      <c r="B323" s="73">
        <v>0</v>
      </c>
    </row>
    <row r="324" spans="1:2">
      <c r="A324" s="73">
        <v>0</v>
      </c>
      <c r="B324" s="73">
        <v>0</v>
      </c>
    </row>
    <row r="325" spans="1:2">
      <c r="A325" s="73">
        <v>0</v>
      </c>
      <c r="B325" s="73">
        <v>0</v>
      </c>
    </row>
    <row r="326" spans="1:2">
      <c r="A326" s="73">
        <v>0</v>
      </c>
      <c r="B326" s="73">
        <v>0</v>
      </c>
    </row>
    <row r="327" spans="1:2">
      <c r="A327" s="73">
        <v>0</v>
      </c>
      <c r="B327" s="73">
        <v>0</v>
      </c>
    </row>
    <row r="328" spans="1:2">
      <c r="A328" s="73">
        <v>0</v>
      </c>
      <c r="B328" s="73">
        <v>0</v>
      </c>
    </row>
    <row r="329" spans="1:2">
      <c r="A329" s="73">
        <v>0</v>
      </c>
      <c r="B329" s="73">
        <v>0</v>
      </c>
    </row>
    <row r="330" spans="1:2">
      <c r="A330" s="73">
        <v>0</v>
      </c>
      <c r="B330" s="73">
        <v>0</v>
      </c>
    </row>
    <row r="331" spans="1:2">
      <c r="A331" s="73">
        <v>0</v>
      </c>
      <c r="B331" s="73">
        <v>0</v>
      </c>
    </row>
    <row r="332" spans="1:2">
      <c r="A332" s="73">
        <v>0</v>
      </c>
      <c r="B332" s="73">
        <v>0</v>
      </c>
    </row>
    <row r="333" spans="1:2">
      <c r="A333" s="73">
        <v>0</v>
      </c>
      <c r="B333" s="73">
        <v>0</v>
      </c>
    </row>
    <row r="334" spans="1:2">
      <c r="A334" s="73">
        <v>0</v>
      </c>
      <c r="B334" s="73">
        <v>0</v>
      </c>
    </row>
    <row r="335" spans="1:2">
      <c r="A335" s="73">
        <v>0</v>
      </c>
      <c r="B335" s="73">
        <v>0</v>
      </c>
    </row>
    <row r="336" spans="1:2">
      <c r="A336" s="73">
        <v>0</v>
      </c>
      <c r="B336" s="73">
        <v>0</v>
      </c>
    </row>
    <row r="337" spans="1:2">
      <c r="A337" s="73">
        <v>0</v>
      </c>
      <c r="B337" s="73">
        <v>0</v>
      </c>
    </row>
    <row r="338" spans="1:2">
      <c r="A338" s="73">
        <v>0</v>
      </c>
      <c r="B338" s="73">
        <v>0</v>
      </c>
    </row>
    <row r="339" spans="1:2">
      <c r="A339" s="73">
        <v>0</v>
      </c>
      <c r="B339" s="73">
        <v>0</v>
      </c>
    </row>
    <row r="340" spans="1:2">
      <c r="A340" s="73">
        <v>0</v>
      </c>
      <c r="B340" s="73">
        <v>0</v>
      </c>
    </row>
    <row r="341" spans="1:2">
      <c r="A341" s="73">
        <v>0</v>
      </c>
      <c r="B341" s="73">
        <v>0</v>
      </c>
    </row>
    <row r="342" spans="1:2">
      <c r="A342" s="73">
        <v>0</v>
      </c>
      <c r="B342" s="73">
        <v>0</v>
      </c>
    </row>
    <row r="343" spans="1:2">
      <c r="A343" s="73">
        <v>0</v>
      </c>
      <c r="B343" s="73">
        <v>0</v>
      </c>
    </row>
    <row r="344" spans="1:2">
      <c r="A344" s="73">
        <v>0</v>
      </c>
      <c r="B344" s="73">
        <v>0</v>
      </c>
    </row>
    <row r="345" spans="1:2">
      <c r="A345" s="73">
        <v>0</v>
      </c>
      <c r="B345" s="73">
        <v>0</v>
      </c>
    </row>
    <row r="346" spans="1:2">
      <c r="A346" s="73">
        <v>0</v>
      </c>
      <c r="B346" s="73">
        <v>0</v>
      </c>
    </row>
    <row r="347" spans="1:2">
      <c r="A347" s="73">
        <v>0</v>
      </c>
      <c r="B347" s="73">
        <v>0</v>
      </c>
    </row>
    <row r="348" spans="1:2">
      <c r="A348" s="73">
        <v>0</v>
      </c>
      <c r="B348" s="73">
        <v>0</v>
      </c>
    </row>
    <row r="349" spans="1:2">
      <c r="A349" s="73">
        <v>0</v>
      </c>
      <c r="B349" s="73">
        <v>0</v>
      </c>
    </row>
    <row r="350" spans="1:2">
      <c r="A350" s="73">
        <v>0</v>
      </c>
      <c r="B350" s="73">
        <v>0</v>
      </c>
    </row>
    <row r="351" spans="1:2">
      <c r="A351" s="73">
        <v>0</v>
      </c>
      <c r="B351" s="73">
        <v>0</v>
      </c>
    </row>
    <row r="352" spans="1:2">
      <c r="A352" s="73">
        <v>0</v>
      </c>
      <c r="B352" s="73">
        <v>0</v>
      </c>
    </row>
    <row r="353" spans="1:2">
      <c r="A353" s="73">
        <v>0</v>
      </c>
      <c r="B353" s="73">
        <v>0</v>
      </c>
    </row>
    <row r="354" spans="1:2">
      <c r="A354" s="73">
        <v>0</v>
      </c>
      <c r="B354" s="73">
        <v>0</v>
      </c>
    </row>
    <row r="355" spans="1:2">
      <c r="A355" s="73">
        <v>0</v>
      </c>
      <c r="B355" s="73">
        <v>0</v>
      </c>
    </row>
    <row r="356" spans="1:2">
      <c r="A356" s="73">
        <v>0</v>
      </c>
      <c r="B356" s="73">
        <v>0</v>
      </c>
    </row>
    <row r="357" spans="1:2">
      <c r="A357" s="73">
        <v>0</v>
      </c>
      <c r="B357" s="73">
        <v>0</v>
      </c>
    </row>
    <row r="358" spans="1:2">
      <c r="A358" s="73">
        <v>0</v>
      </c>
      <c r="B358" s="73">
        <v>0</v>
      </c>
    </row>
    <row r="359" spans="1:2">
      <c r="A359" s="73">
        <v>0</v>
      </c>
      <c r="B359" s="73">
        <v>0</v>
      </c>
    </row>
    <row r="360" spans="1:2">
      <c r="A360" s="73">
        <v>0</v>
      </c>
      <c r="B360" s="73">
        <v>0</v>
      </c>
    </row>
    <row r="361" spans="1:2">
      <c r="A361" s="73">
        <v>0</v>
      </c>
      <c r="B361" s="73">
        <v>0</v>
      </c>
    </row>
    <row r="362" spans="1:2">
      <c r="A362" s="73">
        <v>0</v>
      </c>
      <c r="B362" s="73">
        <v>0</v>
      </c>
    </row>
    <row r="363" spans="1:2">
      <c r="A363" s="73">
        <v>0</v>
      </c>
      <c r="B363" s="73">
        <v>0</v>
      </c>
    </row>
    <row r="364" spans="1:2">
      <c r="A364" s="73">
        <v>0</v>
      </c>
      <c r="B364" s="73">
        <v>0</v>
      </c>
    </row>
    <row r="365" spans="1:2">
      <c r="A365" s="73">
        <v>0</v>
      </c>
      <c r="B365" s="73">
        <v>0</v>
      </c>
    </row>
    <row r="366" spans="1:2">
      <c r="A366" s="73">
        <v>0</v>
      </c>
      <c r="B366" s="73">
        <v>0</v>
      </c>
    </row>
    <row r="367" spans="1:2">
      <c r="A367" s="73">
        <v>0</v>
      </c>
      <c r="B367" s="73">
        <v>0</v>
      </c>
    </row>
    <row r="368" spans="1:2">
      <c r="A368" s="73">
        <v>0</v>
      </c>
      <c r="B368" s="73">
        <v>0</v>
      </c>
    </row>
    <row r="369" spans="1:2">
      <c r="A369" s="73">
        <v>0</v>
      </c>
      <c r="B369" s="73">
        <v>0</v>
      </c>
    </row>
    <row r="370" spans="1:2">
      <c r="A370" s="73">
        <v>0</v>
      </c>
      <c r="B370" s="73">
        <v>0</v>
      </c>
    </row>
    <row r="371" spans="1:2">
      <c r="A371" s="73">
        <v>0</v>
      </c>
      <c r="B371" s="73">
        <v>0</v>
      </c>
    </row>
    <row r="372" spans="1:2">
      <c r="A372" s="73">
        <v>0</v>
      </c>
      <c r="B372" s="73">
        <v>0</v>
      </c>
    </row>
    <row r="373" spans="1:2">
      <c r="A373" s="73">
        <v>0</v>
      </c>
      <c r="B373" s="73">
        <v>0</v>
      </c>
    </row>
    <row r="374" spans="1:2">
      <c r="A374" s="73">
        <v>0</v>
      </c>
      <c r="B374" s="73">
        <v>0</v>
      </c>
    </row>
    <row r="375" spans="1:2">
      <c r="A375" s="73">
        <v>0</v>
      </c>
      <c r="B375" s="73">
        <v>0</v>
      </c>
    </row>
    <row r="376" spans="1:2">
      <c r="A376" s="73">
        <v>0</v>
      </c>
      <c r="B376" s="73">
        <v>0</v>
      </c>
    </row>
    <row r="377" spans="1:2">
      <c r="A377" s="73">
        <v>0</v>
      </c>
      <c r="B377" s="73">
        <v>0</v>
      </c>
    </row>
    <row r="378" spans="1:2">
      <c r="A378" s="73">
        <v>0</v>
      </c>
      <c r="B378" s="73">
        <v>0</v>
      </c>
    </row>
    <row r="379" spans="1:2">
      <c r="A379" s="73">
        <v>0</v>
      </c>
      <c r="B379" s="73">
        <v>0</v>
      </c>
    </row>
    <row r="380" spans="1:2">
      <c r="A380" s="73">
        <v>0</v>
      </c>
      <c r="B380" s="73">
        <v>0</v>
      </c>
    </row>
    <row r="381" spans="1:2">
      <c r="A381" s="73">
        <v>0</v>
      </c>
      <c r="B381" s="73">
        <v>0</v>
      </c>
    </row>
    <row r="382" spans="1:2">
      <c r="A382" s="73">
        <v>0</v>
      </c>
      <c r="B382" s="73">
        <v>0</v>
      </c>
    </row>
    <row r="383" spans="1:2">
      <c r="A383" s="73">
        <v>0</v>
      </c>
      <c r="B383" s="73">
        <v>0</v>
      </c>
    </row>
    <row r="384" spans="1:2">
      <c r="A384" s="73">
        <v>0</v>
      </c>
      <c r="B384" s="73">
        <v>0</v>
      </c>
    </row>
    <row r="385" spans="1:2">
      <c r="A385" s="73">
        <v>0</v>
      </c>
      <c r="B385" s="73">
        <v>0</v>
      </c>
    </row>
    <row r="386" spans="1:2">
      <c r="A386" s="73">
        <v>0</v>
      </c>
      <c r="B386" s="73">
        <v>0</v>
      </c>
    </row>
    <row r="387" spans="1:2">
      <c r="A387" s="73">
        <v>0</v>
      </c>
      <c r="B387" s="73">
        <v>0</v>
      </c>
    </row>
    <row r="388" spans="1:2">
      <c r="A388" s="73">
        <v>0</v>
      </c>
      <c r="B388" s="73">
        <v>0</v>
      </c>
    </row>
    <row r="389" spans="1:2">
      <c r="A389" s="73">
        <v>0</v>
      </c>
      <c r="B389" s="73">
        <v>0</v>
      </c>
    </row>
    <row r="390" spans="1:2">
      <c r="A390" s="73">
        <v>0</v>
      </c>
      <c r="B390" s="73">
        <v>0</v>
      </c>
    </row>
    <row r="391" spans="1:2">
      <c r="A391" s="73">
        <v>0</v>
      </c>
      <c r="B391" s="73">
        <v>0</v>
      </c>
    </row>
    <row r="392" spans="1:2">
      <c r="A392" s="73">
        <v>0</v>
      </c>
      <c r="B392" s="73">
        <v>0</v>
      </c>
    </row>
    <row r="393" spans="1:2">
      <c r="A393" s="73">
        <v>0</v>
      </c>
      <c r="B393" s="73">
        <v>0</v>
      </c>
    </row>
    <row r="394" spans="1:2">
      <c r="A394" s="73">
        <v>0</v>
      </c>
      <c r="B394" s="73">
        <v>0</v>
      </c>
    </row>
    <row r="395" spans="1:2">
      <c r="A395" s="73">
        <v>0</v>
      </c>
      <c r="B395" s="73">
        <v>0</v>
      </c>
    </row>
    <row r="396" spans="1:2">
      <c r="A396" s="73">
        <v>0</v>
      </c>
      <c r="B396" s="73">
        <v>0</v>
      </c>
    </row>
    <row r="397" spans="1:2">
      <c r="A397" s="73">
        <v>0</v>
      </c>
      <c r="B397" s="73">
        <v>0</v>
      </c>
    </row>
    <row r="398" spans="1:2">
      <c r="A398" s="73">
        <v>0</v>
      </c>
      <c r="B398" s="73">
        <v>0</v>
      </c>
    </row>
    <row r="399" spans="1:2">
      <c r="A399" s="73">
        <v>0</v>
      </c>
      <c r="B399" s="73">
        <v>0</v>
      </c>
    </row>
    <row r="400" spans="1:2">
      <c r="A400" s="73">
        <v>0</v>
      </c>
      <c r="B400" s="73">
        <v>0</v>
      </c>
    </row>
    <row r="401" spans="1:2">
      <c r="A401" s="73">
        <v>0</v>
      </c>
      <c r="B401" s="73">
        <v>0</v>
      </c>
    </row>
    <row r="402" spans="1:2">
      <c r="A402" s="73">
        <v>0</v>
      </c>
      <c r="B402" s="73">
        <v>0</v>
      </c>
    </row>
    <row r="403" spans="1:2">
      <c r="A403" s="73">
        <v>0</v>
      </c>
      <c r="B403" s="73">
        <v>0</v>
      </c>
    </row>
    <row r="404" spans="1:2">
      <c r="A404" s="73">
        <v>0</v>
      </c>
      <c r="B404" s="73">
        <v>0</v>
      </c>
    </row>
    <row r="405" spans="1:2">
      <c r="A405" s="73">
        <v>0</v>
      </c>
      <c r="B405" s="73">
        <v>0</v>
      </c>
    </row>
    <row r="406" spans="1:2">
      <c r="A406" s="73">
        <v>0</v>
      </c>
      <c r="B406" s="73">
        <v>0</v>
      </c>
    </row>
    <row r="407" spans="1:2">
      <c r="A407" s="73">
        <v>0</v>
      </c>
      <c r="B407" s="73">
        <v>0</v>
      </c>
    </row>
    <row r="408" spans="1:2">
      <c r="A408" s="73">
        <v>0</v>
      </c>
      <c r="B408" s="73">
        <v>0</v>
      </c>
    </row>
    <row r="409" spans="1:2">
      <c r="A409" s="73">
        <v>0</v>
      </c>
      <c r="B409" s="73">
        <v>0</v>
      </c>
    </row>
    <row r="410" spans="1:2">
      <c r="A410" s="73">
        <v>0</v>
      </c>
      <c r="B410" s="73">
        <v>0</v>
      </c>
    </row>
    <row r="411" spans="1:2">
      <c r="A411" s="73">
        <v>0</v>
      </c>
      <c r="B411" s="73">
        <v>0</v>
      </c>
    </row>
    <row r="412" spans="1:2">
      <c r="A412" s="73">
        <v>0</v>
      </c>
      <c r="B412" s="73">
        <v>0</v>
      </c>
    </row>
    <row r="413" spans="1:2">
      <c r="A413" s="73">
        <v>0</v>
      </c>
      <c r="B413" s="73">
        <v>0</v>
      </c>
    </row>
    <row r="414" spans="1:2">
      <c r="A414" s="73">
        <v>0</v>
      </c>
      <c r="B414" s="73">
        <v>0</v>
      </c>
    </row>
    <row r="415" spans="1:2">
      <c r="A415" s="73">
        <v>0</v>
      </c>
      <c r="B415" s="73">
        <v>0</v>
      </c>
    </row>
    <row r="416" spans="1:2">
      <c r="A416" s="73">
        <v>0</v>
      </c>
      <c r="B416" s="73">
        <v>0</v>
      </c>
    </row>
    <row r="417" spans="1:2">
      <c r="A417" s="73">
        <v>0</v>
      </c>
      <c r="B417" s="73">
        <v>0</v>
      </c>
    </row>
    <row r="418" spans="1:2">
      <c r="A418" s="73">
        <v>0</v>
      </c>
      <c r="B418" s="73">
        <v>0</v>
      </c>
    </row>
    <row r="419" spans="1:2">
      <c r="A419" s="73">
        <v>0</v>
      </c>
      <c r="B419" s="73">
        <v>0</v>
      </c>
    </row>
    <row r="420" spans="1:2">
      <c r="A420" s="73">
        <v>0</v>
      </c>
      <c r="B420" s="73">
        <v>0</v>
      </c>
    </row>
    <row r="421" spans="1:2">
      <c r="A421" s="73">
        <v>0</v>
      </c>
      <c r="B421" s="73">
        <v>0</v>
      </c>
    </row>
    <row r="422" spans="1:2">
      <c r="A422" s="73">
        <v>0</v>
      </c>
      <c r="B422" s="73">
        <v>0</v>
      </c>
    </row>
    <row r="423" spans="1:2">
      <c r="A423" s="73">
        <v>0</v>
      </c>
      <c r="B423" s="73">
        <v>0</v>
      </c>
    </row>
    <row r="424" spans="1:2">
      <c r="A424" s="73">
        <v>0</v>
      </c>
      <c r="B424" s="73">
        <v>0</v>
      </c>
    </row>
    <row r="425" spans="1:2">
      <c r="A425" s="73">
        <v>0</v>
      </c>
      <c r="B425" s="73">
        <v>0</v>
      </c>
    </row>
    <row r="426" spans="1:2">
      <c r="A426" s="73">
        <v>0</v>
      </c>
      <c r="B426" s="73">
        <v>0</v>
      </c>
    </row>
    <row r="427" spans="1:2">
      <c r="A427" s="73">
        <v>0</v>
      </c>
      <c r="B427" s="73">
        <v>0</v>
      </c>
    </row>
    <row r="428" spans="1:2">
      <c r="A428" s="73">
        <v>0</v>
      </c>
      <c r="B428" s="73">
        <v>0</v>
      </c>
    </row>
    <row r="429" spans="1:2">
      <c r="A429" s="73">
        <v>0</v>
      </c>
      <c r="B429" s="73">
        <v>0</v>
      </c>
    </row>
    <row r="430" spans="1:2">
      <c r="A430" s="73">
        <v>0</v>
      </c>
      <c r="B430" s="73">
        <v>0</v>
      </c>
    </row>
    <row r="431" spans="1:2">
      <c r="A431" s="73">
        <v>0</v>
      </c>
      <c r="B431" s="73">
        <v>0</v>
      </c>
    </row>
    <row r="432" spans="1:2">
      <c r="A432" s="73">
        <v>0</v>
      </c>
      <c r="B432" s="73">
        <v>0</v>
      </c>
    </row>
    <row r="433" spans="1:2">
      <c r="A433" s="73">
        <v>0</v>
      </c>
      <c r="B433" s="73">
        <v>0</v>
      </c>
    </row>
    <row r="434" spans="1:2">
      <c r="A434" s="73">
        <v>0</v>
      </c>
      <c r="B434" s="73">
        <v>0</v>
      </c>
    </row>
    <row r="435" spans="1:2">
      <c r="A435" s="73">
        <v>0</v>
      </c>
      <c r="B435" s="73">
        <v>0</v>
      </c>
    </row>
    <row r="436" spans="1:2">
      <c r="A436" s="73">
        <v>0</v>
      </c>
      <c r="B436" s="73">
        <v>0</v>
      </c>
    </row>
    <row r="437" spans="1:2">
      <c r="A437" s="73">
        <v>0</v>
      </c>
      <c r="B437" s="73">
        <v>0</v>
      </c>
    </row>
    <row r="438" spans="1:2">
      <c r="A438" s="73">
        <v>0</v>
      </c>
      <c r="B438" s="73">
        <v>0</v>
      </c>
    </row>
    <row r="439" spans="1:2">
      <c r="A439" s="73">
        <v>0</v>
      </c>
      <c r="B439" s="73">
        <v>0</v>
      </c>
    </row>
    <row r="440" spans="1:2">
      <c r="A440" s="73">
        <v>0</v>
      </c>
      <c r="B440" s="73">
        <v>0</v>
      </c>
    </row>
    <row r="441" spans="1:2">
      <c r="A441" s="73">
        <v>0</v>
      </c>
      <c r="B441" s="73">
        <v>0</v>
      </c>
    </row>
    <row r="442" spans="1:2">
      <c r="A442" s="73">
        <v>0</v>
      </c>
      <c r="B442" s="73">
        <v>0</v>
      </c>
    </row>
    <row r="443" spans="1:2">
      <c r="A443" s="73">
        <v>0</v>
      </c>
      <c r="B443" s="73">
        <v>0</v>
      </c>
    </row>
    <row r="444" spans="1:2">
      <c r="A444" s="73">
        <v>0</v>
      </c>
      <c r="B444" s="73">
        <v>0</v>
      </c>
    </row>
    <row r="445" spans="1:2">
      <c r="A445" s="73">
        <v>0</v>
      </c>
      <c r="B445" s="73">
        <v>0</v>
      </c>
    </row>
    <row r="446" spans="1:2">
      <c r="A446" s="73">
        <v>0</v>
      </c>
      <c r="B446" s="73">
        <v>0</v>
      </c>
    </row>
    <row r="447" spans="1:2">
      <c r="A447" s="73">
        <v>0</v>
      </c>
      <c r="B447" s="73">
        <v>0</v>
      </c>
    </row>
    <row r="448" spans="1:2">
      <c r="A448" s="73">
        <v>0</v>
      </c>
      <c r="B448" s="73">
        <v>0</v>
      </c>
    </row>
    <row r="449" spans="1:2">
      <c r="A449" s="73">
        <v>0</v>
      </c>
      <c r="B449" s="73">
        <v>0</v>
      </c>
    </row>
    <row r="450" spans="1:2">
      <c r="A450" s="73">
        <v>0</v>
      </c>
      <c r="B450" s="73">
        <v>0</v>
      </c>
    </row>
    <row r="451" spans="1:2">
      <c r="A451" s="73">
        <v>0</v>
      </c>
      <c r="B451" s="73">
        <v>0</v>
      </c>
    </row>
    <row r="452" spans="1:2">
      <c r="A452" s="73">
        <v>0</v>
      </c>
      <c r="B452" s="73">
        <v>0</v>
      </c>
    </row>
    <row r="453" spans="1:2">
      <c r="A453" s="73">
        <v>0</v>
      </c>
      <c r="B453" s="73">
        <v>0</v>
      </c>
    </row>
    <row r="454" spans="1:2">
      <c r="A454" s="73">
        <v>0</v>
      </c>
      <c r="B454" s="73">
        <v>0</v>
      </c>
    </row>
    <row r="455" spans="1:2">
      <c r="A455" s="73">
        <v>0</v>
      </c>
      <c r="B455" s="73">
        <v>0</v>
      </c>
    </row>
    <row r="456" spans="1:2">
      <c r="A456" s="73">
        <v>0</v>
      </c>
      <c r="B456" s="73">
        <v>0</v>
      </c>
    </row>
    <row r="457" spans="1:2">
      <c r="A457" s="73">
        <v>0</v>
      </c>
      <c r="B457" s="73">
        <v>0</v>
      </c>
    </row>
    <row r="458" spans="1:2">
      <c r="A458" s="73">
        <v>0</v>
      </c>
      <c r="B458" s="73">
        <v>0</v>
      </c>
    </row>
    <row r="459" spans="1:2">
      <c r="A459" s="73">
        <v>0</v>
      </c>
      <c r="B459" s="73">
        <v>0</v>
      </c>
    </row>
    <row r="460" spans="1:2">
      <c r="A460" s="73">
        <v>0</v>
      </c>
      <c r="B460" s="73">
        <v>0</v>
      </c>
    </row>
    <row r="461" spans="1:2">
      <c r="A461" s="73">
        <v>0</v>
      </c>
      <c r="B461" s="73">
        <v>0</v>
      </c>
    </row>
    <row r="462" spans="1:2">
      <c r="A462" s="73">
        <v>0</v>
      </c>
      <c r="B462" s="73">
        <v>0</v>
      </c>
    </row>
    <row r="463" spans="1:2">
      <c r="A463" s="73">
        <v>0</v>
      </c>
      <c r="B463" s="73">
        <v>0</v>
      </c>
    </row>
    <row r="464" spans="1:2">
      <c r="A464" s="73">
        <v>0</v>
      </c>
      <c r="B464" s="73">
        <v>0</v>
      </c>
    </row>
    <row r="465" spans="1:2">
      <c r="A465" s="73">
        <v>0</v>
      </c>
      <c r="B465" s="73">
        <v>0</v>
      </c>
    </row>
    <row r="466" spans="1:2">
      <c r="A466" s="73">
        <v>0</v>
      </c>
      <c r="B466" s="73">
        <v>0</v>
      </c>
    </row>
    <row r="467" spans="1:2">
      <c r="A467" s="73">
        <v>0</v>
      </c>
      <c r="B467" s="73">
        <v>0</v>
      </c>
    </row>
    <row r="468" spans="1:2">
      <c r="A468" s="73">
        <v>0</v>
      </c>
      <c r="B468" s="73">
        <v>0</v>
      </c>
    </row>
    <row r="469" spans="1:2">
      <c r="A469" s="73">
        <v>0</v>
      </c>
      <c r="B469" s="73">
        <v>0</v>
      </c>
    </row>
    <row r="470" spans="1:2">
      <c r="A470" s="73">
        <v>0</v>
      </c>
      <c r="B470" s="73">
        <v>0</v>
      </c>
    </row>
    <row r="471" spans="1:2">
      <c r="A471" s="73">
        <v>0</v>
      </c>
      <c r="B471" s="73">
        <v>0</v>
      </c>
    </row>
    <row r="472" spans="1:2">
      <c r="A472" s="73">
        <v>0</v>
      </c>
      <c r="B472" s="73">
        <v>0</v>
      </c>
    </row>
    <row r="473" spans="1:2">
      <c r="A473" s="73">
        <v>0</v>
      </c>
      <c r="B473" s="73">
        <v>0</v>
      </c>
    </row>
    <row r="474" spans="1:2">
      <c r="A474" s="73">
        <v>0</v>
      </c>
      <c r="B474" s="73">
        <v>0</v>
      </c>
    </row>
    <row r="475" spans="1:2">
      <c r="A475" s="73">
        <v>0</v>
      </c>
      <c r="B475" s="73">
        <v>0</v>
      </c>
    </row>
    <row r="476" spans="1:2">
      <c r="A476" s="73">
        <v>0</v>
      </c>
      <c r="B476" s="73">
        <v>0</v>
      </c>
    </row>
    <row r="477" spans="1:2">
      <c r="A477" s="73">
        <v>0</v>
      </c>
      <c r="B477" s="73">
        <v>0</v>
      </c>
    </row>
    <row r="478" spans="1:2">
      <c r="A478" s="73">
        <v>0</v>
      </c>
      <c r="B478" s="73">
        <v>0</v>
      </c>
    </row>
    <row r="479" spans="1:2">
      <c r="A479" s="73">
        <v>0</v>
      </c>
      <c r="B479" s="73">
        <v>0</v>
      </c>
    </row>
    <row r="480" spans="1:2">
      <c r="A480" s="73">
        <v>0</v>
      </c>
      <c r="B480" s="73">
        <v>0</v>
      </c>
    </row>
    <row r="481" spans="1:2">
      <c r="A481" s="73">
        <v>0</v>
      </c>
      <c r="B481" s="73">
        <v>0</v>
      </c>
    </row>
    <row r="482" spans="1:2">
      <c r="A482" s="73">
        <v>0</v>
      </c>
      <c r="B482" s="73">
        <v>0</v>
      </c>
    </row>
    <row r="483" spans="1:2">
      <c r="A483" s="73">
        <v>0</v>
      </c>
      <c r="B483" s="73">
        <v>0</v>
      </c>
    </row>
    <row r="484" spans="1:2">
      <c r="A484" s="73">
        <v>0</v>
      </c>
      <c r="B484" s="73">
        <v>0</v>
      </c>
    </row>
    <row r="485" spans="1:2">
      <c r="A485" s="73">
        <v>0</v>
      </c>
      <c r="B485" s="73">
        <v>0</v>
      </c>
    </row>
    <row r="486" spans="1:2">
      <c r="A486" s="73">
        <v>0</v>
      </c>
      <c r="B486" s="73">
        <v>0</v>
      </c>
    </row>
    <row r="487" spans="1:2">
      <c r="A487" s="73">
        <v>0</v>
      </c>
      <c r="B487" s="73">
        <v>0</v>
      </c>
    </row>
    <row r="488" spans="1:2">
      <c r="A488" s="73">
        <v>0</v>
      </c>
      <c r="B488" s="73">
        <v>0</v>
      </c>
    </row>
    <row r="489" spans="1:2">
      <c r="A489" s="73">
        <v>0</v>
      </c>
      <c r="B489" s="73">
        <v>0</v>
      </c>
    </row>
    <row r="490" spans="1:2">
      <c r="A490" s="73">
        <v>0</v>
      </c>
      <c r="B490" s="73">
        <v>0</v>
      </c>
    </row>
    <row r="491" spans="1:2">
      <c r="A491" s="73">
        <v>0</v>
      </c>
      <c r="B491" s="73">
        <v>0</v>
      </c>
    </row>
    <row r="492" spans="1:2">
      <c r="A492" s="73">
        <v>0</v>
      </c>
      <c r="B492" s="73">
        <v>0</v>
      </c>
    </row>
    <row r="493" spans="1:2">
      <c r="A493" s="73">
        <v>0</v>
      </c>
      <c r="B493" s="73">
        <v>0</v>
      </c>
    </row>
    <row r="494" spans="1:2">
      <c r="A494" s="73">
        <v>0</v>
      </c>
      <c r="B494" s="73">
        <v>0</v>
      </c>
    </row>
    <row r="495" spans="1:2">
      <c r="A495" s="73">
        <v>0</v>
      </c>
      <c r="B495" s="73">
        <v>0</v>
      </c>
    </row>
    <row r="496" spans="1:2">
      <c r="A496" s="73">
        <v>0</v>
      </c>
      <c r="B496" s="73">
        <v>0</v>
      </c>
    </row>
    <row r="497" spans="1:2">
      <c r="A497" s="73">
        <v>0</v>
      </c>
      <c r="B497" s="73">
        <v>0</v>
      </c>
    </row>
    <row r="498" spans="1:2">
      <c r="A498" s="73">
        <v>0</v>
      </c>
      <c r="B498" s="73">
        <v>0</v>
      </c>
    </row>
    <row r="499" spans="1:2">
      <c r="A499" s="73">
        <v>0</v>
      </c>
      <c r="B499" s="73">
        <v>0</v>
      </c>
    </row>
    <row r="500" spans="1:2">
      <c r="A500" s="73">
        <v>0</v>
      </c>
      <c r="B500" s="73">
        <v>0</v>
      </c>
    </row>
    <row r="501" spans="1:2">
      <c r="A501" s="73">
        <v>0</v>
      </c>
      <c r="B501" s="73">
        <v>0</v>
      </c>
    </row>
    <row r="502" spans="1:2">
      <c r="A502" s="73">
        <v>0</v>
      </c>
      <c r="B502" s="73">
        <v>0</v>
      </c>
    </row>
    <row r="503" spans="1:2">
      <c r="A503" s="73">
        <v>0</v>
      </c>
      <c r="B503" s="73">
        <v>0</v>
      </c>
    </row>
    <row r="504" spans="1:2">
      <c r="A504" s="73">
        <v>0</v>
      </c>
      <c r="B504" s="73">
        <v>0</v>
      </c>
    </row>
    <row r="505" spans="1:2">
      <c r="A505" s="73">
        <v>0</v>
      </c>
      <c r="B505" s="73">
        <v>0</v>
      </c>
    </row>
    <row r="506" spans="1:2">
      <c r="A506" s="73">
        <v>0</v>
      </c>
      <c r="B506" s="73">
        <v>0</v>
      </c>
    </row>
    <row r="507" spans="1:2">
      <c r="A507" s="73">
        <v>0</v>
      </c>
      <c r="B507" s="73">
        <v>0</v>
      </c>
    </row>
    <row r="508" spans="1:2">
      <c r="A508" s="73">
        <v>0</v>
      </c>
      <c r="B508" s="73">
        <v>0</v>
      </c>
    </row>
    <row r="509" spans="1:2">
      <c r="A509" s="73">
        <v>0</v>
      </c>
      <c r="B509" s="73">
        <v>0</v>
      </c>
    </row>
    <row r="510" spans="1:2">
      <c r="A510" s="73">
        <v>0</v>
      </c>
      <c r="B510" s="73">
        <v>0</v>
      </c>
    </row>
    <row r="511" spans="1:2">
      <c r="A511" s="73">
        <v>0</v>
      </c>
      <c r="B511" s="73">
        <v>0</v>
      </c>
    </row>
    <row r="512" spans="1:2">
      <c r="A512" s="73">
        <v>0</v>
      </c>
      <c r="B512" s="73">
        <v>0</v>
      </c>
    </row>
    <row r="513" spans="1:2">
      <c r="A513" s="73">
        <v>0</v>
      </c>
      <c r="B513" s="73">
        <v>0</v>
      </c>
    </row>
    <row r="514" spans="1:2">
      <c r="A514" s="73">
        <v>0</v>
      </c>
      <c r="B514" s="73">
        <v>0</v>
      </c>
    </row>
    <row r="515" spans="1:2">
      <c r="A515" s="73">
        <v>0</v>
      </c>
      <c r="B515" s="73">
        <v>0</v>
      </c>
    </row>
    <row r="516" spans="1:2">
      <c r="A516" s="73">
        <v>0</v>
      </c>
      <c r="B516" s="73">
        <v>0</v>
      </c>
    </row>
    <row r="517" spans="1:2">
      <c r="A517" s="73">
        <v>0</v>
      </c>
      <c r="B517" s="73">
        <v>0</v>
      </c>
    </row>
    <row r="518" spans="1:2">
      <c r="A518" s="73">
        <v>0</v>
      </c>
      <c r="B518" s="73">
        <v>0</v>
      </c>
    </row>
    <row r="519" spans="1:2">
      <c r="A519" s="73">
        <v>0</v>
      </c>
      <c r="B519" s="73">
        <v>0</v>
      </c>
    </row>
    <row r="520" spans="1:2">
      <c r="A520" s="73">
        <v>0</v>
      </c>
      <c r="B520" s="73">
        <v>0</v>
      </c>
    </row>
    <row r="521" spans="1:2">
      <c r="A521" s="73">
        <v>0</v>
      </c>
      <c r="B521" s="73">
        <v>0</v>
      </c>
    </row>
    <row r="522" spans="1:2">
      <c r="A522" s="73">
        <v>0</v>
      </c>
      <c r="B522" s="73">
        <v>0</v>
      </c>
    </row>
    <row r="523" spans="1:2">
      <c r="A523" s="73">
        <v>0</v>
      </c>
      <c r="B523" s="73">
        <v>0</v>
      </c>
    </row>
    <row r="524" spans="1:2">
      <c r="A524" s="73">
        <v>0</v>
      </c>
      <c r="B524" s="73">
        <v>0</v>
      </c>
    </row>
    <row r="525" spans="1:2">
      <c r="A525" s="73">
        <v>0</v>
      </c>
      <c r="B525" s="73">
        <v>0</v>
      </c>
    </row>
    <row r="526" spans="1:2">
      <c r="A526" s="73">
        <v>0</v>
      </c>
      <c r="B526" s="73">
        <v>0</v>
      </c>
    </row>
    <row r="527" spans="1:2">
      <c r="A527" s="73">
        <v>0</v>
      </c>
      <c r="B527" s="73">
        <v>0</v>
      </c>
    </row>
    <row r="528" spans="1:2">
      <c r="A528" s="73">
        <v>0</v>
      </c>
      <c r="B528" s="73">
        <v>0</v>
      </c>
    </row>
    <row r="529" spans="1:2">
      <c r="A529" s="73">
        <v>0</v>
      </c>
      <c r="B529" s="73">
        <v>0</v>
      </c>
    </row>
    <row r="530" spans="1:2">
      <c r="A530" s="73">
        <v>0</v>
      </c>
      <c r="B530" s="73">
        <v>0</v>
      </c>
    </row>
    <row r="531" spans="1:2">
      <c r="A531" s="73">
        <v>0</v>
      </c>
      <c r="B531" s="73">
        <v>0</v>
      </c>
    </row>
    <row r="532" spans="1:2">
      <c r="A532" s="73">
        <v>0</v>
      </c>
      <c r="B532" s="73">
        <v>0</v>
      </c>
    </row>
    <row r="533" spans="1:2">
      <c r="A533" s="73">
        <v>0</v>
      </c>
      <c r="B533" s="73">
        <v>0</v>
      </c>
    </row>
    <row r="534" spans="1:2">
      <c r="A534" s="73">
        <v>0</v>
      </c>
      <c r="B534" s="73">
        <v>0</v>
      </c>
    </row>
    <row r="535" spans="1:2">
      <c r="A535" s="73">
        <v>0</v>
      </c>
      <c r="B535" s="73">
        <v>0</v>
      </c>
    </row>
    <row r="536" spans="1:2">
      <c r="A536" s="73">
        <v>0</v>
      </c>
      <c r="B536" s="73">
        <v>0</v>
      </c>
    </row>
    <row r="537" spans="1:2">
      <c r="A537" s="73">
        <v>0</v>
      </c>
      <c r="B537" s="73">
        <v>0</v>
      </c>
    </row>
    <row r="538" spans="1:2">
      <c r="A538" s="73">
        <v>0</v>
      </c>
      <c r="B538" s="73">
        <v>0</v>
      </c>
    </row>
    <row r="539" spans="1:2">
      <c r="A539" s="73">
        <v>0</v>
      </c>
      <c r="B539" s="73">
        <v>0</v>
      </c>
    </row>
    <row r="540" spans="1:2">
      <c r="A540" s="73">
        <v>0</v>
      </c>
      <c r="B540" s="73">
        <v>0</v>
      </c>
    </row>
    <row r="541" spans="1:2">
      <c r="A541" s="73">
        <v>0</v>
      </c>
      <c r="B541" s="73">
        <v>0</v>
      </c>
    </row>
    <row r="542" spans="1:2">
      <c r="A542" s="73">
        <v>0</v>
      </c>
      <c r="B542" s="73">
        <v>0</v>
      </c>
    </row>
    <row r="543" spans="1:2">
      <c r="A543" s="73">
        <v>0</v>
      </c>
      <c r="B543" s="73">
        <v>0</v>
      </c>
    </row>
    <row r="544" spans="1:2">
      <c r="A544" s="73">
        <v>0</v>
      </c>
      <c r="B544" s="73">
        <v>0</v>
      </c>
    </row>
    <row r="545" spans="1:2">
      <c r="A545" s="73">
        <v>0</v>
      </c>
      <c r="B545" s="73">
        <v>0</v>
      </c>
    </row>
    <row r="546" spans="1:2">
      <c r="A546" s="73">
        <v>0</v>
      </c>
      <c r="B546" s="73">
        <v>0</v>
      </c>
    </row>
    <row r="547" spans="1:2">
      <c r="A547" s="73">
        <v>0</v>
      </c>
      <c r="B547" s="73">
        <v>0</v>
      </c>
    </row>
    <row r="548" spans="1:2">
      <c r="A548" s="73">
        <v>0</v>
      </c>
      <c r="B548" s="73">
        <v>0</v>
      </c>
    </row>
    <row r="549" spans="1:2">
      <c r="A549" s="73">
        <v>0</v>
      </c>
      <c r="B549" s="73">
        <v>0</v>
      </c>
    </row>
    <row r="550" spans="1:2">
      <c r="A550" s="73">
        <v>0</v>
      </c>
      <c r="B550" s="73">
        <v>0</v>
      </c>
    </row>
    <row r="551" spans="1:2">
      <c r="A551" s="73">
        <v>0</v>
      </c>
      <c r="B551" s="73">
        <v>0</v>
      </c>
    </row>
    <row r="552" spans="1:2">
      <c r="A552" s="73">
        <v>0</v>
      </c>
      <c r="B552" s="73">
        <v>0</v>
      </c>
    </row>
    <row r="553" spans="1:2">
      <c r="A553" s="73">
        <v>0</v>
      </c>
      <c r="B553" s="73">
        <v>0</v>
      </c>
    </row>
    <row r="554" spans="1:2">
      <c r="A554" s="73">
        <v>0</v>
      </c>
      <c r="B554" s="73">
        <v>0</v>
      </c>
    </row>
    <row r="555" spans="1:2">
      <c r="A555" s="73">
        <v>0</v>
      </c>
      <c r="B555" s="73">
        <v>0</v>
      </c>
    </row>
    <row r="556" spans="1:2">
      <c r="A556" s="73">
        <v>0</v>
      </c>
      <c r="B556" s="73">
        <v>0</v>
      </c>
    </row>
    <row r="557" spans="1:2">
      <c r="A557" s="73">
        <v>0</v>
      </c>
      <c r="B557" s="73">
        <v>0</v>
      </c>
    </row>
    <row r="558" spans="1:2">
      <c r="A558" s="73">
        <v>0</v>
      </c>
      <c r="B558" s="73">
        <v>0</v>
      </c>
    </row>
    <row r="559" spans="1:2">
      <c r="A559" s="73">
        <v>0</v>
      </c>
      <c r="B559" s="73">
        <v>0</v>
      </c>
    </row>
    <row r="560" spans="1:2">
      <c r="A560" s="73">
        <v>0</v>
      </c>
      <c r="B560" s="73">
        <v>0</v>
      </c>
    </row>
    <row r="561" spans="1:2">
      <c r="A561" s="73">
        <v>0</v>
      </c>
      <c r="B561" s="73">
        <v>0</v>
      </c>
    </row>
    <row r="562" spans="1:2">
      <c r="A562" s="73">
        <v>0</v>
      </c>
      <c r="B562" s="73">
        <v>0</v>
      </c>
    </row>
    <row r="563" spans="1:2">
      <c r="A563" s="73">
        <v>0</v>
      </c>
      <c r="B563" s="73">
        <v>0</v>
      </c>
    </row>
    <row r="564" spans="1:2">
      <c r="A564" s="73">
        <v>0</v>
      </c>
      <c r="B564" s="73">
        <v>0</v>
      </c>
    </row>
    <row r="565" spans="1:2">
      <c r="A565" s="73">
        <v>0</v>
      </c>
      <c r="B565" s="73">
        <v>0</v>
      </c>
    </row>
    <row r="566" spans="1:2">
      <c r="A566" s="73">
        <v>0</v>
      </c>
      <c r="B566" s="73">
        <v>0</v>
      </c>
    </row>
    <row r="567" spans="1:2">
      <c r="A567" s="73">
        <v>0</v>
      </c>
      <c r="B567" s="73">
        <v>0</v>
      </c>
    </row>
    <row r="568" spans="1:2">
      <c r="A568" s="73">
        <v>0</v>
      </c>
      <c r="B568" s="73">
        <v>0</v>
      </c>
    </row>
    <row r="569" spans="1:2">
      <c r="A569" s="73">
        <v>0</v>
      </c>
      <c r="B569" s="73">
        <v>0</v>
      </c>
    </row>
    <row r="570" spans="1:2">
      <c r="A570" s="73">
        <v>0</v>
      </c>
      <c r="B570" s="73">
        <v>0</v>
      </c>
    </row>
    <row r="571" spans="1:2">
      <c r="A571" s="73">
        <v>0</v>
      </c>
      <c r="B571" s="73">
        <v>0</v>
      </c>
    </row>
    <row r="572" spans="1:2">
      <c r="A572" s="73">
        <v>0</v>
      </c>
      <c r="B572" s="73">
        <v>0</v>
      </c>
    </row>
    <row r="573" spans="1:2">
      <c r="A573" s="73">
        <v>0</v>
      </c>
      <c r="B573" s="73">
        <v>0</v>
      </c>
    </row>
    <row r="574" spans="1:2">
      <c r="A574" s="73">
        <v>0</v>
      </c>
      <c r="B574" s="73">
        <v>0</v>
      </c>
    </row>
    <row r="575" spans="1:2">
      <c r="A575" s="73">
        <v>0</v>
      </c>
      <c r="B575" s="73">
        <v>0</v>
      </c>
    </row>
    <row r="576" spans="1:2">
      <c r="A576" s="73">
        <v>0</v>
      </c>
      <c r="B576" s="73">
        <v>0</v>
      </c>
    </row>
    <row r="577" spans="1:2">
      <c r="A577" s="73">
        <v>0</v>
      </c>
      <c r="B577" s="73">
        <v>0</v>
      </c>
    </row>
    <row r="578" spans="1:2">
      <c r="A578" s="73">
        <v>0</v>
      </c>
      <c r="B578" s="73">
        <v>0</v>
      </c>
    </row>
    <row r="579" spans="1:2">
      <c r="A579" s="73">
        <v>0</v>
      </c>
      <c r="B579" s="73">
        <v>0</v>
      </c>
    </row>
    <row r="580" spans="1:2">
      <c r="A580" s="73">
        <v>0</v>
      </c>
      <c r="B580" s="73">
        <v>0</v>
      </c>
    </row>
    <row r="581" spans="1:2">
      <c r="A581" s="73">
        <v>0</v>
      </c>
      <c r="B581" s="73">
        <v>0</v>
      </c>
    </row>
    <row r="582" spans="1:2">
      <c r="A582" s="73">
        <v>0</v>
      </c>
      <c r="B582" s="73">
        <v>0</v>
      </c>
    </row>
    <row r="583" spans="1:2">
      <c r="A583" s="73">
        <v>0</v>
      </c>
      <c r="B583" s="73">
        <v>0</v>
      </c>
    </row>
    <row r="584" spans="1:2">
      <c r="A584" s="73">
        <v>0</v>
      </c>
      <c r="B584" s="73">
        <v>0</v>
      </c>
    </row>
    <row r="585" spans="1:2">
      <c r="A585" s="73">
        <v>0</v>
      </c>
      <c r="B585" s="73">
        <v>0</v>
      </c>
    </row>
    <row r="586" spans="1:2">
      <c r="A586" s="73">
        <v>0</v>
      </c>
      <c r="B586" s="73">
        <v>0</v>
      </c>
    </row>
    <row r="587" spans="1:2">
      <c r="A587" s="73">
        <v>0</v>
      </c>
      <c r="B587" s="73">
        <v>0</v>
      </c>
    </row>
    <row r="588" spans="1:2">
      <c r="A588" s="73">
        <v>0</v>
      </c>
      <c r="B588" s="73">
        <v>0</v>
      </c>
    </row>
    <row r="589" spans="1:2">
      <c r="A589" s="73">
        <v>0</v>
      </c>
      <c r="B589" s="73">
        <v>0</v>
      </c>
    </row>
    <row r="590" spans="1:2">
      <c r="A590" s="73">
        <v>0</v>
      </c>
      <c r="B590" s="73">
        <v>0</v>
      </c>
    </row>
    <row r="591" spans="1:2">
      <c r="A591" s="73">
        <v>0</v>
      </c>
      <c r="B591" s="73">
        <v>0</v>
      </c>
    </row>
    <row r="592" spans="1:2">
      <c r="A592" s="73">
        <v>0</v>
      </c>
      <c r="B592" s="73">
        <v>0</v>
      </c>
    </row>
    <row r="593" spans="1:2">
      <c r="A593" s="73">
        <v>0</v>
      </c>
      <c r="B593" s="73">
        <v>0</v>
      </c>
    </row>
    <row r="594" spans="1:2">
      <c r="A594" s="73">
        <v>0</v>
      </c>
      <c r="B594" s="73">
        <v>0</v>
      </c>
    </row>
    <row r="595" spans="1:2">
      <c r="A595" s="73">
        <v>0</v>
      </c>
      <c r="B595" s="73">
        <v>0</v>
      </c>
    </row>
    <row r="596" spans="1:2">
      <c r="A596" s="73">
        <v>0</v>
      </c>
      <c r="B596" s="73">
        <v>0</v>
      </c>
    </row>
    <row r="597" spans="1:2">
      <c r="A597" s="73">
        <v>0</v>
      </c>
      <c r="B597" s="73">
        <v>0</v>
      </c>
    </row>
    <row r="598" spans="1:2">
      <c r="A598" s="73">
        <v>0</v>
      </c>
      <c r="B598" s="73">
        <v>0</v>
      </c>
    </row>
    <row r="599" spans="1:2">
      <c r="A599" s="73">
        <v>0</v>
      </c>
      <c r="B599" s="73">
        <v>0</v>
      </c>
    </row>
    <row r="600" spans="1:2">
      <c r="A600" s="73">
        <v>0</v>
      </c>
      <c r="B600" s="73">
        <v>0</v>
      </c>
    </row>
    <row r="601" spans="1:2">
      <c r="A601" s="73">
        <v>0</v>
      </c>
      <c r="B601" s="73">
        <v>0</v>
      </c>
    </row>
    <row r="602" spans="1:2">
      <c r="A602" s="73">
        <v>0</v>
      </c>
      <c r="B602" s="73">
        <v>0</v>
      </c>
    </row>
    <row r="603" spans="1:2">
      <c r="A603" s="73">
        <v>0</v>
      </c>
      <c r="B603" s="73">
        <v>0</v>
      </c>
    </row>
    <row r="604" spans="1:2">
      <c r="A604" s="73">
        <v>0</v>
      </c>
      <c r="B604" s="73">
        <v>0</v>
      </c>
    </row>
    <row r="605" spans="1:2">
      <c r="A605" s="73">
        <v>0</v>
      </c>
      <c r="B605" s="73">
        <v>0</v>
      </c>
    </row>
    <row r="606" spans="1:2">
      <c r="A606" s="73">
        <v>0</v>
      </c>
      <c r="B606" s="73">
        <v>0</v>
      </c>
    </row>
    <row r="607" spans="1:2">
      <c r="A607" s="73">
        <v>0</v>
      </c>
      <c r="B607" s="73">
        <v>0</v>
      </c>
    </row>
    <row r="608" spans="1:2">
      <c r="A608" s="73">
        <v>0</v>
      </c>
      <c r="B608" s="73">
        <v>0</v>
      </c>
    </row>
    <row r="609" spans="1:2">
      <c r="A609" s="73">
        <v>0</v>
      </c>
      <c r="B609" s="73">
        <v>0</v>
      </c>
    </row>
    <row r="610" spans="1:2">
      <c r="A610" s="73">
        <v>0</v>
      </c>
      <c r="B610" s="73">
        <v>0</v>
      </c>
    </row>
    <row r="611" spans="1:2">
      <c r="A611" s="73">
        <v>0</v>
      </c>
      <c r="B611" s="73">
        <v>0</v>
      </c>
    </row>
    <row r="612" spans="1:2">
      <c r="A612" s="73">
        <v>0</v>
      </c>
      <c r="B612" s="73">
        <v>0</v>
      </c>
    </row>
    <row r="613" spans="1:2">
      <c r="A613" s="73">
        <v>0</v>
      </c>
      <c r="B613" s="73">
        <v>0</v>
      </c>
    </row>
    <row r="614" spans="1:2">
      <c r="A614" s="73">
        <v>0</v>
      </c>
      <c r="B614" s="73">
        <v>0</v>
      </c>
    </row>
    <row r="615" spans="1:2">
      <c r="A615" s="73">
        <v>0</v>
      </c>
      <c r="B615" s="73">
        <v>0</v>
      </c>
    </row>
    <row r="616" spans="1:2">
      <c r="A616" s="73">
        <v>0</v>
      </c>
      <c r="B616" s="73">
        <v>0</v>
      </c>
    </row>
    <row r="617" spans="1:2">
      <c r="A617" s="73">
        <v>0</v>
      </c>
      <c r="B617" s="73">
        <v>0</v>
      </c>
    </row>
    <row r="618" spans="1:2">
      <c r="A618" s="73">
        <v>0</v>
      </c>
      <c r="B618" s="73">
        <v>0</v>
      </c>
    </row>
    <row r="619" spans="1:2">
      <c r="A619" s="73">
        <v>0</v>
      </c>
      <c r="B619" s="73">
        <v>0</v>
      </c>
    </row>
    <row r="620" spans="1:2">
      <c r="A620" s="73">
        <v>0</v>
      </c>
      <c r="B620" s="73">
        <v>0</v>
      </c>
    </row>
    <row r="621" spans="1:2">
      <c r="A621" s="73">
        <v>0</v>
      </c>
      <c r="B621" s="73">
        <v>0</v>
      </c>
    </row>
    <row r="622" spans="1:2">
      <c r="A622" s="73">
        <v>0</v>
      </c>
      <c r="B622" s="73">
        <v>0</v>
      </c>
    </row>
    <row r="623" spans="1:2">
      <c r="A623" s="73">
        <v>0</v>
      </c>
      <c r="B623" s="73">
        <v>0</v>
      </c>
    </row>
    <row r="624" spans="1:2">
      <c r="A624" s="73">
        <v>0</v>
      </c>
      <c r="B624" s="73">
        <v>0</v>
      </c>
    </row>
    <row r="625" spans="1:2">
      <c r="A625" s="73">
        <v>0</v>
      </c>
      <c r="B625" s="73">
        <v>0</v>
      </c>
    </row>
    <row r="626" spans="1:2">
      <c r="A626" s="73">
        <v>0</v>
      </c>
      <c r="B626" s="73">
        <v>0</v>
      </c>
    </row>
    <row r="627" spans="1:2">
      <c r="A627" s="73">
        <v>0</v>
      </c>
      <c r="B627" s="73">
        <v>0</v>
      </c>
    </row>
    <row r="628" spans="1:2">
      <c r="A628" s="73">
        <v>0</v>
      </c>
      <c r="B628" s="73">
        <v>0</v>
      </c>
    </row>
    <row r="629" spans="1:2">
      <c r="A629" s="73">
        <v>0</v>
      </c>
      <c r="B629" s="73">
        <v>0</v>
      </c>
    </row>
    <row r="630" spans="1:2">
      <c r="A630" s="73">
        <v>0</v>
      </c>
      <c r="B630" s="73">
        <v>0</v>
      </c>
    </row>
    <row r="631" spans="1:2">
      <c r="A631" s="73">
        <v>0</v>
      </c>
      <c r="B631" s="73">
        <v>0</v>
      </c>
    </row>
    <row r="632" spans="1:2">
      <c r="A632" s="73">
        <v>0</v>
      </c>
      <c r="B632" s="73">
        <v>0</v>
      </c>
    </row>
    <row r="633" spans="1:2">
      <c r="A633" s="73">
        <v>0</v>
      </c>
      <c r="B633" s="73">
        <v>0</v>
      </c>
    </row>
    <row r="634" spans="1:2">
      <c r="A634" s="73">
        <v>0</v>
      </c>
      <c r="B634" s="73">
        <v>0</v>
      </c>
    </row>
    <row r="635" spans="1:2">
      <c r="A635" s="73">
        <v>0</v>
      </c>
      <c r="B635" s="73">
        <v>0</v>
      </c>
    </row>
    <row r="636" spans="1:2">
      <c r="A636" s="73">
        <v>0</v>
      </c>
      <c r="B636" s="73">
        <v>0</v>
      </c>
    </row>
    <row r="637" spans="1:2">
      <c r="A637" s="73">
        <v>0</v>
      </c>
      <c r="B637" s="73">
        <v>0</v>
      </c>
    </row>
    <row r="638" spans="1:2">
      <c r="A638" s="73">
        <v>0</v>
      </c>
      <c r="B638" s="73">
        <v>0</v>
      </c>
    </row>
    <row r="639" spans="1:2">
      <c r="A639" s="73">
        <v>0</v>
      </c>
      <c r="B639" s="73">
        <v>0</v>
      </c>
    </row>
    <row r="640" spans="1:2">
      <c r="A640" s="73">
        <v>0</v>
      </c>
      <c r="B640" s="73">
        <v>0</v>
      </c>
    </row>
    <row r="641" spans="1:2">
      <c r="A641" s="73">
        <v>0</v>
      </c>
      <c r="B641" s="73">
        <v>0</v>
      </c>
    </row>
    <row r="642" spans="1:2">
      <c r="A642" s="73">
        <v>0</v>
      </c>
      <c r="B642" s="73">
        <v>0</v>
      </c>
    </row>
    <row r="643" spans="1:2">
      <c r="A643" s="73">
        <v>0</v>
      </c>
      <c r="B643" s="73">
        <v>0</v>
      </c>
    </row>
    <row r="644" spans="1:2">
      <c r="A644" s="73">
        <v>0</v>
      </c>
      <c r="B644" s="73">
        <v>0</v>
      </c>
    </row>
    <row r="645" spans="1:2">
      <c r="A645" s="73">
        <v>0</v>
      </c>
      <c r="B645" s="73">
        <v>0</v>
      </c>
    </row>
    <row r="646" spans="1:2">
      <c r="A646" s="73">
        <v>0</v>
      </c>
      <c r="B646" s="73">
        <v>0</v>
      </c>
    </row>
    <row r="647" spans="1:2">
      <c r="A647" s="73">
        <v>0</v>
      </c>
      <c r="B647" s="73">
        <v>0</v>
      </c>
    </row>
    <row r="648" spans="1:2">
      <c r="A648" s="73">
        <v>0</v>
      </c>
      <c r="B648" s="73">
        <v>0</v>
      </c>
    </row>
    <row r="649" spans="1:2">
      <c r="A649" s="73">
        <v>0</v>
      </c>
      <c r="B649" s="73">
        <v>0</v>
      </c>
    </row>
    <row r="650" spans="1:2">
      <c r="A650" s="73">
        <v>0</v>
      </c>
      <c r="B650" s="73">
        <v>0</v>
      </c>
    </row>
    <row r="651" spans="1:2">
      <c r="A651" s="73">
        <v>0</v>
      </c>
      <c r="B651" s="73">
        <v>0</v>
      </c>
    </row>
    <row r="652" spans="1:2">
      <c r="A652" s="73">
        <v>0</v>
      </c>
      <c r="B652" s="73">
        <v>0</v>
      </c>
    </row>
    <row r="653" spans="1:2">
      <c r="A653" s="73">
        <v>0</v>
      </c>
      <c r="B653" s="73">
        <v>0</v>
      </c>
    </row>
    <row r="654" spans="1:2">
      <c r="A654" s="73">
        <v>0</v>
      </c>
      <c r="B654" s="73">
        <v>0</v>
      </c>
    </row>
    <row r="655" spans="1:2">
      <c r="A655" s="73">
        <v>0</v>
      </c>
      <c r="B655" s="73">
        <v>0</v>
      </c>
    </row>
    <row r="656" spans="1:2">
      <c r="A656" s="73">
        <v>0</v>
      </c>
      <c r="B656" s="73">
        <v>0</v>
      </c>
    </row>
    <row r="657" spans="1:2">
      <c r="A657" s="73">
        <v>0</v>
      </c>
      <c r="B657" s="73">
        <v>0</v>
      </c>
    </row>
    <row r="658" spans="1:2">
      <c r="A658" s="73">
        <v>0</v>
      </c>
      <c r="B658" s="73">
        <v>0</v>
      </c>
    </row>
    <row r="659" spans="1:2">
      <c r="A659" s="73">
        <v>0</v>
      </c>
      <c r="B659" s="73">
        <v>0</v>
      </c>
    </row>
    <row r="660" spans="1:2">
      <c r="A660" s="73">
        <v>0</v>
      </c>
      <c r="B660" s="73">
        <v>0</v>
      </c>
    </row>
    <row r="661" spans="1:2">
      <c r="A661" s="73">
        <v>0</v>
      </c>
      <c r="B661" s="73">
        <v>0</v>
      </c>
    </row>
    <row r="662" spans="1:2">
      <c r="A662" s="73">
        <v>0</v>
      </c>
      <c r="B662" s="73">
        <v>0</v>
      </c>
    </row>
    <row r="663" spans="1:2">
      <c r="A663" s="73">
        <v>0</v>
      </c>
      <c r="B663" s="73">
        <v>0</v>
      </c>
    </row>
    <row r="664" spans="1:2">
      <c r="A664" s="73">
        <v>0</v>
      </c>
      <c r="B664" s="73">
        <v>0</v>
      </c>
    </row>
    <row r="665" spans="1:2">
      <c r="A665" s="73">
        <v>0</v>
      </c>
      <c r="B665" s="73">
        <v>0</v>
      </c>
    </row>
    <row r="666" spans="1:2">
      <c r="A666" s="73">
        <v>0</v>
      </c>
      <c r="B666" s="73">
        <v>0</v>
      </c>
    </row>
    <row r="667" spans="1:2">
      <c r="A667" s="73">
        <v>0</v>
      </c>
      <c r="B667" s="73">
        <v>1</v>
      </c>
    </row>
    <row r="668" spans="1:2">
      <c r="A668" s="73">
        <v>0</v>
      </c>
      <c r="B668" s="73">
        <v>1</v>
      </c>
    </row>
    <row r="669" spans="1:2">
      <c r="A669" s="73">
        <v>0</v>
      </c>
      <c r="B669" s="73">
        <v>1</v>
      </c>
    </row>
    <row r="670" spans="1:2">
      <c r="A670" s="73">
        <v>0</v>
      </c>
      <c r="B670" s="73">
        <v>1</v>
      </c>
    </row>
    <row r="671" spans="1:2">
      <c r="A671" s="73">
        <v>0</v>
      </c>
      <c r="B671" s="73">
        <v>1</v>
      </c>
    </row>
    <row r="672" spans="1:2">
      <c r="A672" s="73">
        <v>0</v>
      </c>
      <c r="B672" s="73">
        <v>1</v>
      </c>
    </row>
    <row r="673" spans="1:2">
      <c r="A673" s="73">
        <v>1</v>
      </c>
      <c r="B673" s="73">
        <v>1</v>
      </c>
    </row>
    <row r="674" spans="1:2">
      <c r="A674" s="73">
        <v>1</v>
      </c>
      <c r="B674" s="73">
        <v>1</v>
      </c>
    </row>
    <row r="675" spans="1:2">
      <c r="A675" s="73">
        <v>1</v>
      </c>
      <c r="B675" s="73">
        <v>1</v>
      </c>
    </row>
    <row r="676" spans="1:2">
      <c r="A676" s="73">
        <v>1</v>
      </c>
      <c r="B676" s="73">
        <v>1</v>
      </c>
    </row>
    <row r="677" spans="1:2">
      <c r="A677" s="73">
        <v>1</v>
      </c>
      <c r="B677" s="73">
        <v>1</v>
      </c>
    </row>
    <row r="678" spans="1:2">
      <c r="A678" s="73">
        <v>1</v>
      </c>
      <c r="B678" s="73">
        <v>1</v>
      </c>
    </row>
    <row r="679" spans="1:2">
      <c r="A679" s="73">
        <v>1</v>
      </c>
      <c r="B679" s="73">
        <v>1</v>
      </c>
    </row>
    <row r="680" spans="1:2">
      <c r="A680" s="73">
        <v>1</v>
      </c>
      <c r="B680" s="73">
        <v>1</v>
      </c>
    </row>
    <row r="681" spans="1:2">
      <c r="A681" s="73">
        <v>1</v>
      </c>
      <c r="B681" s="73">
        <v>1</v>
      </c>
    </row>
    <row r="682" spans="1:2">
      <c r="A682" s="73">
        <v>1</v>
      </c>
      <c r="B682" s="73">
        <v>1</v>
      </c>
    </row>
    <row r="683" spans="1:2">
      <c r="A683" s="73">
        <v>1</v>
      </c>
      <c r="B683" s="73">
        <v>1</v>
      </c>
    </row>
    <row r="684" spans="1:2">
      <c r="A684" s="73">
        <v>1</v>
      </c>
      <c r="B684" s="73">
        <v>1</v>
      </c>
    </row>
    <row r="685" spans="1:2">
      <c r="A685" s="73">
        <v>1</v>
      </c>
      <c r="B685" s="73">
        <v>1</v>
      </c>
    </row>
    <row r="686" spans="1:2">
      <c r="A686" s="73">
        <v>1</v>
      </c>
      <c r="B686" s="73">
        <v>1</v>
      </c>
    </row>
    <row r="687" spans="1:2">
      <c r="A687" s="73">
        <v>1</v>
      </c>
      <c r="B687" s="73">
        <v>1</v>
      </c>
    </row>
    <row r="688" spans="1:2">
      <c r="A688" s="73">
        <v>1</v>
      </c>
      <c r="B688" s="73">
        <v>1</v>
      </c>
    </row>
    <row r="689" spans="1:2">
      <c r="A689" s="73">
        <v>1</v>
      </c>
      <c r="B689" s="73">
        <v>1</v>
      </c>
    </row>
    <row r="690" spans="1:2">
      <c r="A690" s="73">
        <v>1</v>
      </c>
      <c r="B690" s="73">
        <v>1</v>
      </c>
    </row>
    <row r="691" spans="1:2">
      <c r="A691" s="73">
        <v>1</v>
      </c>
      <c r="B691" s="73">
        <v>1</v>
      </c>
    </row>
    <row r="692" spans="1:2">
      <c r="A692" s="73">
        <v>1</v>
      </c>
      <c r="B692" s="73">
        <v>1</v>
      </c>
    </row>
    <row r="693" spans="1:2">
      <c r="A693" s="73">
        <v>1</v>
      </c>
      <c r="B693" s="73">
        <v>1</v>
      </c>
    </row>
    <row r="694" spans="1:2">
      <c r="A694" s="73">
        <v>1</v>
      </c>
      <c r="B694" s="73">
        <v>1</v>
      </c>
    </row>
    <row r="695" spans="1:2">
      <c r="B695" s="73">
        <v>1</v>
      </c>
    </row>
    <row r="696" spans="1:2">
      <c r="B696" s="73">
        <v>1</v>
      </c>
    </row>
    <row r="697" spans="1:2">
      <c r="B697" s="73">
        <v>1</v>
      </c>
    </row>
    <row r="698" spans="1:2">
      <c r="B698" s="73">
        <v>1</v>
      </c>
    </row>
    <row r="699" spans="1:2">
      <c r="B699" s="73">
        <v>1</v>
      </c>
    </row>
    <row r="700" spans="1:2">
      <c r="B700" s="73">
        <v>1</v>
      </c>
    </row>
    <row r="701" spans="1:2">
      <c r="B701" s="73">
        <v>1</v>
      </c>
    </row>
    <row r="702" spans="1:2">
      <c r="B702" s="73">
        <v>1</v>
      </c>
    </row>
    <row r="703" spans="1:2">
      <c r="B703" s="73">
        <v>1</v>
      </c>
    </row>
    <row r="704" spans="1:2">
      <c r="B704" s="73">
        <v>1</v>
      </c>
    </row>
    <row r="705" spans="2:2">
      <c r="B705" s="73">
        <v>1</v>
      </c>
    </row>
    <row r="706" spans="2:2">
      <c r="B706" s="73">
        <v>1</v>
      </c>
    </row>
    <row r="707" spans="2:2">
      <c r="B707" s="73">
        <v>1</v>
      </c>
    </row>
    <row r="708" spans="2:2">
      <c r="B708" s="73">
        <v>1</v>
      </c>
    </row>
    <row r="709" spans="2:2">
      <c r="B709" s="73">
        <v>1</v>
      </c>
    </row>
    <row r="710" spans="2:2">
      <c r="B710" s="73">
        <v>1</v>
      </c>
    </row>
    <row r="711" spans="2:2">
      <c r="B711" s="73">
        <v>1</v>
      </c>
    </row>
    <row r="712" spans="2:2">
      <c r="B712" s="73">
        <v>1</v>
      </c>
    </row>
    <row r="713" spans="2:2">
      <c r="B713" s="73">
        <v>1</v>
      </c>
    </row>
    <row r="714" spans="2:2">
      <c r="B714" s="73">
        <v>1</v>
      </c>
    </row>
    <row r="715" spans="2:2">
      <c r="B715" s="73">
        <v>1</v>
      </c>
    </row>
    <row r="716" spans="2:2">
      <c r="B716" s="73">
        <v>1</v>
      </c>
    </row>
  </sheetData>
  <mergeCells count="2">
    <mergeCell ref="F17:G17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experiment_data</vt:lpstr>
      <vt:lpstr>business_context</vt:lpstr>
      <vt:lpstr>Task4_Analysis</vt:lpstr>
      <vt:lpstr>Task5_Summary</vt:lpstr>
      <vt:lpstr>Hypothesis_Test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Hasija</cp:lastModifiedBy>
  <dcterms:modified xsi:type="dcterms:W3CDTF">2026-06-26T23:33:25Z</dcterms:modified>
</cp:coreProperties>
</file>